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Budget" sheetId="1" state="visible" r:id="rId1"/>
    <sheet name="Centuary" sheetId="2" state="visible" r:id="rId2"/>
    <sheet name="Sleep Matters" sheetId="3" state="visible" r:id="rId3"/>
    <sheet name="Centuary - Target vs Achieved" sheetId="4" state="visible" r:id="rId4"/>
    <sheet name="Sleep Matters - Tgt vs Achie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.00"/>
    <numFmt numFmtId="166" formatCode="₹0.000"/>
    <numFmt numFmtId="167" formatCode="₹0.0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  <font>
      <b val="1"/>
      <color rgb="00000000"/>
      <sz val="10"/>
    </font>
    <font>
      <b val="1"/>
      <color rgb="00FFFFFF"/>
    </font>
    <font>
      <b val="1"/>
    </font>
    <font>
      <b val="1"/>
      <color rgb="00FFFFFF"/>
      <sz val="10"/>
    </font>
    <font>
      <b val="1"/>
      <sz val="10"/>
    </font>
    <font>
      <b val="1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8F4E8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164" fontId="0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164" fontId="0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6" fillId="5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9" fontId="0" fillId="4" borderId="0" applyAlignment="1" pivotButton="0" quotePrefix="0" xfId="0">
      <alignment horizontal="center" vertical="center"/>
    </xf>
    <xf numFmtId="9" fontId="0" fillId="6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165" fontId="0" fillId="4" borderId="0" applyAlignment="1" pivotButton="0" quotePrefix="0" xfId="0">
      <alignment horizontal="center" vertical="center"/>
    </xf>
    <xf numFmtId="165" fontId="0" fillId="6" borderId="0" applyAlignment="1" pivotButton="0" quotePrefix="0" xfId="0">
      <alignment horizontal="center" vertical="center"/>
    </xf>
    <xf numFmtId="166" fontId="0" fillId="4" borderId="0" applyAlignment="1" pivotButton="0" quotePrefix="0" xfId="0">
      <alignment horizontal="center" vertical="center"/>
    </xf>
    <xf numFmtId="166" fontId="0" fillId="6" borderId="0" applyAlignment="1" pivotButton="0" quotePrefix="0" xfId="0">
      <alignment horizontal="center" vertical="center"/>
    </xf>
    <xf numFmtId="167" fontId="0" fillId="4" borderId="0" applyAlignment="1" pivotButton="0" quotePrefix="0" xfId="0">
      <alignment horizontal="center" vertical="center"/>
    </xf>
    <xf numFmtId="167" fontId="0" fillId="6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left" vertical="center"/>
    </xf>
    <xf numFmtId="3" fontId="0" fillId="6" borderId="0" applyAlignment="1" pivotButton="0" quotePrefix="0" xfId="0">
      <alignment horizontal="center" vertical="center"/>
    </xf>
    <xf numFmtId="10" fontId="0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3" fontId="0" fillId="7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5" borderId="0" applyAlignment="1" pivotButton="0" quotePrefix="0" xfId="0">
      <alignment horizontal="center" vertical="center"/>
    </xf>
    <xf numFmtId="0" fontId="8" fillId="3" borderId="0" pivotButton="0" quotePrefix="0" xfId="0"/>
    <xf numFmtId="0" fontId="8" fillId="9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OVERALL BUDGET SUMMARY – FY 2026-27</t>
        </is>
      </c>
    </row>
    <row r="2">
      <c r="A2" s="2" t="inlineStr">
        <is>
          <t>Budget – Centuary Mattresses Page</t>
        </is>
      </c>
      <c r="B2" s="3" t="n">
        <v>3000000</v>
      </c>
    </row>
    <row r="3">
      <c r="A3" s="2" t="inlineStr">
        <is>
          <t>Budget – Sleep Matters Page</t>
        </is>
      </c>
      <c r="B3" s="3" t="n">
        <v>600000</v>
      </c>
    </row>
    <row r="4">
      <c r="A4" s="2" t="inlineStr">
        <is>
          <t>Additional Budget – Influencer Boosting</t>
        </is>
      </c>
      <c r="B4" s="3" t="n">
        <v>500000</v>
      </c>
    </row>
    <row r="5">
      <c r="A5" s="4" t="inlineStr">
        <is>
          <t>Total Budget</t>
        </is>
      </c>
      <c r="B5" s="5">
        <f>B2+B3+B4</f>
        <v/>
      </c>
    </row>
    <row r="7">
      <c r="A7" s="6" t="inlineStr">
        <is>
          <t>Legend</t>
        </is>
      </c>
    </row>
    <row r="8">
      <c r="A8" s="7" t="inlineStr">
        <is>
          <t>Yellow = Input (editable per month)</t>
        </is>
      </c>
    </row>
    <row r="9">
      <c r="A9" s="8" t="inlineStr">
        <is>
          <t>Green  = Formula (auto-calculated)</t>
        </is>
      </c>
    </row>
    <row r="10">
      <c r="A10" s="9" t="inlineStr">
        <is>
          <t>Orange = Reference / Derived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CENTUARY – BUDGET BREAKDOWN (FY 2026-27)</t>
        </is>
      </c>
    </row>
    <row r="2">
      <c r="A2" s="10" t="inlineStr">
        <is>
          <t>Metric / Campaign</t>
        </is>
      </c>
      <c r="B2" s="10" t="inlineStr">
        <is>
          <t>Apr'26</t>
        </is>
      </c>
      <c r="C2" s="10" t="inlineStr">
        <is>
          <t>May'26</t>
        </is>
      </c>
      <c r="D2" s="10" t="inlineStr">
        <is>
          <t>Jun'26</t>
        </is>
      </c>
      <c r="E2" s="10" t="inlineStr">
        <is>
          <t>Jul'26</t>
        </is>
      </c>
      <c r="F2" s="10" t="inlineStr">
        <is>
          <t>Aug'26</t>
        </is>
      </c>
      <c r="G2" s="10" t="inlineStr">
        <is>
          <t>Sep'26</t>
        </is>
      </c>
      <c r="H2" s="10" t="inlineStr">
        <is>
          <t>Oct'26</t>
        </is>
      </c>
      <c r="I2" s="10" t="inlineStr">
        <is>
          <t>Nov'26</t>
        </is>
      </c>
      <c r="J2" s="10" t="inlineStr">
        <is>
          <t>Dec'26</t>
        </is>
      </c>
      <c r="K2" s="10" t="inlineStr">
        <is>
          <t>Jan'27</t>
        </is>
      </c>
      <c r="L2" s="10" t="inlineStr">
        <is>
          <t>Feb'27</t>
        </is>
      </c>
      <c r="M2" s="10" t="inlineStr">
        <is>
          <t>Mar'27</t>
        </is>
      </c>
      <c r="N2" s="10" t="inlineStr">
        <is>
          <t>Annual Total</t>
        </is>
      </c>
    </row>
    <row r="3">
      <c r="A3" s="11" t="inlineStr">
        <is>
          <t>Percentage Split</t>
        </is>
      </c>
      <c r="B3" s="12" t="n">
        <v>0.07000000000000001</v>
      </c>
      <c r="C3" s="12" t="n">
        <v>0.07000000000000001</v>
      </c>
      <c r="D3" s="12" t="n">
        <v>0.05</v>
      </c>
      <c r="E3" s="12" t="n">
        <v>0.05</v>
      </c>
      <c r="F3" s="12" t="n">
        <v>0.14</v>
      </c>
      <c r="G3" s="12" t="n">
        <v>0.05</v>
      </c>
      <c r="H3" s="12" t="n">
        <v>0.14</v>
      </c>
      <c r="I3" s="12" t="n">
        <v>0.07000000000000001</v>
      </c>
      <c r="J3" s="12" t="n">
        <v>0.05</v>
      </c>
      <c r="K3" s="12" t="n">
        <v>0.13</v>
      </c>
      <c r="L3" s="12" t="n">
        <v>0.05</v>
      </c>
      <c r="M3" s="12" t="n">
        <v>0.13</v>
      </c>
      <c r="N3" s="13">
        <f>SUM(B3:M3)</f>
        <v/>
      </c>
    </row>
    <row r="4">
      <c r="A4" s="11" t="inlineStr">
        <is>
          <t>Total Meta Budget – Centuary</t>
        </is>
      </c>
      <c r="B4" s="3" t="n">
        <v>210000</v>
      </c>
      <c r="C4" s="3" t="n">
        <v>210000</v>
      </c>
      <c r="D4" s="3" t="n">
        <v>150000</v>
      </c>
      <c r="E4" s="3" t="n">
        <v>150000</v>
      </c>
      <c r="F4" s="3" t="n">
        <v>420000.0000000001</v>
      </c>
      <c r="G4" s="3" t="n">
        <v>150000</v>
      </c>
      <c r="H4" s="3" t="n">
        <v>420000.0000000001</v>
      </c>
      <c r="I4" s="3" t="n">
        <v>210000</v>
      </c>
      <c r="J4" s="3" t="n">
        <v>150000</v>
      </c>
      <c r="K4" s="3" t="n">
        <v>390000</v>
      </c>
      <c r="L4" s="3" t="n">
        <v>150000</v>
      </c>
      <c r="M4" s="3" t="n">
        <v>390000</v>
      </c>
      <c r="N4" s="5">
        <f>SUM(B4:M4)</f>
        <v/>
      </c>
      <c r="O4" s="3" t="n">
        <v>3000000</v>
      </c>
    </row>
    <row r="5">
      <c r="A5" s="14" t="inlineStr">
        <is>
          <t>Reach, Engagement &amp; Video Views (35%)</t>
        </is>
      </c>
      <c r="B5" s="5">
        <f>B4*0.35</f>
        <v/>
      </c>
      <c r="C5" s="5">
        <f>C4*0.35</f>
        <v/>
      </c>
      <c r="D5" s="5">
        <f>D4*0.35</f>
        <v/>
      </c>
      <c r="E5" s="5">
        <f>E4*0.35</f>
        <v/>
      </c>
      <c r="F5" s="5">
        <f>F4*0.35</f>
        <v/>
      </c>
      <c r="G5" s="5">
        <f>G4*0.35</f>
        <v/>
      </c>
      <c r="H5" s="5">
        <f>H4*0.35</f>
        <v/>
      </c>
      <c r="I5" s="5">
        <f>I4*0.35</f>
        <v/>
      </c>
      <c r="J5" s="5">
        <f>J4*0.35</f>
        <v/>
      </c>
      <c r="K5" s="5">
        <f>K4*0.35</f>
        <v/>
      </c>
      <c r="L5" s="5">
        <f>L4*0.35</f>
        <v/>
      </c>
      <c r="M5" s="5">
        <f>M4*0.35</f>
        <v/>
      </c>
      <c r="N5" s="5">
        <f>SUM(B5:M5)</f>
        <v/>
      </c>
      <c r="O5" s="3" t="n">
        <v>1050000</v>
      </c>
    </row>
    <row r="6">
      <c r="A6" s="14" t="inlineStr">
        <is>
          <t>Product Awareness – Remarketing/Interest (20%)</t>
        </is>
      </c>
      <c r="B6" s="5">
        <f>B4*0.2</f>
        <v/>
      </c>
      <c r="C6" s="5">
        <f>C4*0.2</f>
        <v/>
      </c>
      <c r="D6" s="5">
        <f>D4*0.2</f>
        <v/>
      </c>
      <c r="E6" s="5">
        <f>E4*0.2</f>
        <v/>
      </c>
      <c r="F6" s="5">
        <f>F4*0.2</f>
        <v/>
      </c>
      <c r="G6" s="5">
        <f>G4*0.2</f>
        <v/>
      </c>
      <c r="H6" s="5">
        <f>H4*0.2</f>
        <v/>
      </c>
      <c r="I6" s="5">
        <f>I4*0.2</f>
        <v/>
      </c>
      <c r="J6" s="5">
        <f>J4*0.2</f>
        <v/>
      </c>
      <c r="K6" s="5">
        <f>K4*0.2</f>
        <v/>
      </c>
      <c r="L6" s="5">
        <f>L4*0.2</f>
        <v/>
      </c>
      <c r="M6" s="5">
        <f>M4*0.2</f>
        <v/>
      </c>
      <c r="N6" s="5">
        <f>SUM(B6:M6)</f>
        <v/>
      </c>
      <c r="O6" s="3" t="n">
        <v>600000</v>
      </c>
    </row>
    <row r="7">
      <c r="A7" s="14" t="inlineStr">
        <is>
          <t>FB Page Like Campaigns (7%)</t>
        </is>
      </c>
      <c r="B7" s="5">
        <f>B4*0.07</f>
        <v/>
      </c>
      <c r="C7" s="5">
        <f>C4*0.07</f>
        <v/>
      </c>
      <c r="D7" s="5">
        <f>D4*0.07</f>
        <v/>
      </c>
      <c r="E7" s="5">
        <f>E4*0.07</f>
        <v/>
      </c>
      <c r="F7" s="5">
        <f>F4*0.07</f>
        <v/>
      </c>
      <c r="G7" s="5">
        <f>G4*0.07</f>
        <v/>
      </c>
      <c r="H7" s="5">
        <f>H4*0.07</f>
        <v/>
      </c>
      <c r="I7" s="5">
        <f>I4*0.07</f>
        <v/>
      </c>
      <c r="J7" s="5">
        <f>J4*0.07</f>
        <v/>
      </c>
      <c r="K7" s="5">
        <f>K4*0.07</f>
        <v/>
      </c>
      <c r="L7" s="5">
        <f>L4*0.07</f>
        <v/>
      </c>
      <c r="M7" s="5">
        <f>M4*0.07</f>
        <v/>
      </c>
      <c r="N7" s="5">
        <f>SUM(B7:M7)</f>
        <v/>
      </c>
      <c r="O7" s="3" t="n">
        <v>210000</v>
      </c>
    </row>
    <row r="8">
      <c r="A8" s="14" t="inlineStr">
        <is>
          <t>IG Followers Campaigns (13%)</t>
        </is>
      </c>
      <c r="B8" s="5">
        <f>B4*0.13</f>
        <v/>
      </c>
      <c r="C8" s="5">
        <f>C4*0.13</f>
        <v/>
      </c>
      <c r="D8" s="5">
        <f>D4*0.13</f>
        <v/>
      </c>
      <c r="E8" s="5">
        <f>E4*0.13</f>
        <v/>
      </c>
      <c r="F8" s="5">
        <f>F4*0.13</f>
        <v/>
      </c>
      <c r="G8" s="5">
        <f>G4*0.13</f>
        <v/>
      </c>
      <c r="H8" s="5">
        <f>H4*0.13</f>
        <v/>
      </c>
      <c r="I8" s="5">
        <f>I4*0.13</f>
        <v/>
      </c>
      <c r="J8" s="5">
        <f>J4*0.13</f>
        <v/>
      </c>
      <c r="K8" s="5">
        <f>K4*0.13</f>
        <v/>
      </c>
      <c r="L8" s="5">
        <f>L4*0.13</f>
        <v/>
      </c>
      <c r="M8" s="5">
        <f>M4*0.13</f>
        <v/>
      </c>
      <c r="N8" s="5">
        <f>SUM(B8:M8)</f>
        <v/>
      </c>
      <c r="O8" s="3" t="n">
        <v>390000</v>
      </c>
    </row>
    <row r="9">
      <c r="A9" s="14" t="inlineStr">
        <is>
          <t>YouTube Video View Campaigns (15%)</t>
        </is>
      </c>
      <c r="B9" s="5">
        <f>B4*0.15</f>
        <v/>
      </c>
      <c r="C9" s="5">
        <f>C4*0.15</f>
        <v/>
      </c>
      <c r="D9" s="5">
        <f>D4*0.15</f>
        <v/>
      </c>
      <c r="E9" s="5">
        <f>E4*0.15</f>
        <v/>
      </c>
      <c r="F9" s="5">
        <f>F4*0.15</f>
        <v/>
      </c>
      <c r="G9" s="5">
        <f>G4*0.15</f>
        <v/>
      </c>
      <c r="H9" s="5">
        <f>H4*0.15</f>
        <v/>
      </c>
      <c r="I9" s="5">
        <f>I4*0.15</f>
        <v/>
      </c>
      <c r="J9" s="5">
        <f>J4*0.15</f>
        <v/>
      </c>
      <c r="K9" s="5">
        <f>K4*0.15</f>
        <v/>
      </c>
      <c r="L9" s="5">
        <f>L4*0.15</f>
        <v/>
      </c>
      <c r="M9" s="5">
        <f>M4*0.15</f>
        <v/>
      </c>
      <c r="N9" s="5">
        <f>SUM(B9:M9)</f>
        <v/>
      </c>
      <c r="O9" s="3" t="n">
        <v>450000</v>
      </c>
    </row>
    <row r="10">
      <c r="A10" s="14" t="inlineStr">
        <is>
          <t>YouTube Subscribers – Centuary (10%)</t>
        </is>
      </c>
      <c r="B10" s="5">
        <f>B4*0.1</f>
        <v/>
      </c>
      <c r="C10" s="5">
        <f>C4*0.1</f>
        <v/>
      </c>
      <c r="D10" s="5">
        <f>D4*0.1</f>
        <v/>
      </c>
      <c r="E10" s="5">
        <f>E4*0.1</f>
        <v/>
      </c>
      <c r="F10" s="5">
        <f>F4*0.1</f>
        <v/>
      </c>
      <c r="G10" s="5">
        <f>G4*0.1</f>
        <v/>
      </c>
      <c r="H10" s="5">
        <f>H4*0.1</f>
        <v/>
      </c>
      <c r="I10" s="5">
        <f>I4*0.1</f>
        <v/>
      </c>
      <c r="J10" s="5">
        <f>J4*0.1</f>
        <v/>
      </c>
      <c r="K10" s="5">
        <f>K4*0.1</f>
        <v/>
      </c>
      <c r="L10" s="5">
        <f>L4*0.1</f>
        <v/>
      </c>
      <c r="M10" s="5">
        <f>M4*0.1</f>
        <v/>
      </c>
      <c r="N10" s="5">
        <f>SUM(B10:M10)</f>
        <v/>
      </c>
      <c r="O10" s="3" t="n">
        <v>300000</v>
      </c>
    </row>
    <row r="11">
      <c r="A11" s="14" t="inlineStr">
        <is>
          <t>YouTube Subscribers – Beddy (Fixed ₹5,000/mo)</t>
        </is>
      </c>
      <c r="B11" s="3" t="n">
        <v>5000</v>
      </c>
      <c r="C11" s="3" t="n">
        <v>5000</v>
      </c>
      <c r="D11" s="3" t="n">
        <v>5000</v>
      </c>
      <c r="E11" s="3" t="n">
        <v>5000</v>
      </c>
      <c r="F11" s="3" t="n">
        <v>5000</v>
      </c>
      <c r="G11" s="3" t="n">
        <v>5000</v>
      </c>
      <c r="H11" s="3" t="n">
        <v>5000</v>
      </c>
      <c r="I11" s="3" t="n">
        <v>5000</v>
      </c>
      <c r="J11" s="3" t="n">
        <v>5000</v>
      </c>
      <c r="K11" s="3" t="n">
        <v>5000</v>
      </c>
      <c r="L11" s="3" t="n">
        <v>5000</v>
      </c>
      <c r="M11" s="3" t="n">
        <v>5000</v>
      </c>
      <c r="N11" s="5">
        <f>SUM(B11:M11)</f>
        <v/>
      </c>
    </row>
    <row r="12">
      <c r="A12" s="14" t="inlineStr">
        <is>
          <t>Influencer Boosting</t>
        </is>
      </c>
      <c r="N12" s="3" t="n">
        <v>0</v>
      </c>
    </row>
    <row r="13">
      <c r="A13" s="11" t="inlineStr">
        <is>
          <t>Budget Overall</t>
        </is>
      </c>
      <c r="B13" s="5">
        <f>SUM(B4:B11)</f>
        <v/>
      </c>
      <c r="C13" s="5">
        <f>SUM(C4:C11)</f>
        <v/>
      </c>
      <c r="D13" s="5">
        <f>SUM(D4:D11)</f>
        <v/>
      </c>
      <c r="E13" s="5">
        <f>SUM(E4:E11)</f>
        <v/>
      </c>
      <c r="F13" s="5">
        <f>SUM(F4:F11)</f>
        <v/>
      </c>
      <c r="G13" s="5">
        <f>SUM(G4:G11)</f>
        <v/>
      </c>
      <c r="H13" s="5">
        <f>SUM(H4:H11)</f>
        <v/>
      </c>
      <c r="I13" s="5">
        <f>SUM(I4:I11)</f>
        <v/>
      </c>
      <c r="J13" s="5">
        <f>SUM(J4:J11)</f>
        <v/>
      </c>
      <c r="K13" s="5">
        <f>SUM(K4:K11)</f>
        <v/>
      </c>
      <c r="L13" s="5">
        <f>SUM(L4:L11)</f>
        <v/>
      </c>
      <c r="M13" s="5">
        <f>SUM(M4:M11)</f>
        <v/>
      </c>
      <c r="N13" s="5">
        <f>SUM(B13:M13)</f>
        <v/>
      </c>
    </row>
    <row r="15">
      <c r="A15" s="1" t="inlineStr">
        <is>
          <t>RATE INPUTS  ▸  Editable per month  ▸  Lower = better efficiency</t>
        </is>
      </c>
    </row>
    <row r="16">
      <c r="A16" s="10" t="inlineStr">
        <is>
          <t>Metric / Campaign</t>
        </is>
      </c>
      <c r="B16" s="10" t="inlineStr">
        <is>
          <t>Apr'26</t>
        </is>
      </c>
      <c r="C16" s="10" t="inlineStr">
        <is>
          <t>May'26</t>
        </is>
      </c>
      <c r="D16" s="10" t="inlineStr">
        <is>
          <t>Jun'26</t>
        </is>
      </c>
      <c r="E16" s="10" t="inlineStr">
        <is>
          <t>Jul'26</t>
        </is>
      </c>
      <c r="F16" s="10" t="inlineStr">
        <is>
          <t>Aug'26</t>
        </is>
      </c>
      <c r="G16" s="10" t="inlineStr">
        <is>
          <t>Sep'26</t>
        </is>
      </c>
      <c r="H16" s="10" t="inlineStr">
        <is>
          <t>Oct'26</t>
        </is>
      </c>
      <c r="I16" s="10" t="inlineStr">
        <is>
          <t>Nov'26</t>
        </is>
      </c>
      <c r="J16" s="10" t="inlineStr">
        <is>
          <t>Dec'26</t>
        </is>
      </c>
      <c r="K16" s="10" t="inlineStr">
        <is>
          <t>Jan'27</t>
        </is>
      </c>
      <c r="L16" s="10" t="inlineStr">
        <is>
          <t>Feb'27</t>
        </is>
      </c>
      <c r="M16" s="10" t="inlineStr">
        <is>
          <t>Mar'27</t>
        </is>
      </c>
      <c r="N16" s="10" t="inlineStr">
        <is>
          <t>Annual Total</t>
        </is>
      </c>
    </row>
    <row r="17">
      <c r="A17" s="2" t="inlineStr">
        <is>
          <t>CPR – Cost per 1,000 Reach (₹)</t>
        </is>
      </c>
      <c r="B17" s="15" t="n">
        <v>15.3</v>
      </c>
      <c r="C17" s="15" t="n">
        <v>15.3</v>
      </c>
      <c r="D17" s="15" t="n">
        <v>17</v>
      </c>
      <c r="E17" s="15" t="n">
        <v>17</v>
      </c>
      <c r="F17" s="15" t="n">
        <v>14</v>
      </c>
      <c r="G17" s="15" t="n">
        <v>17</v>
      </c>
      <c r="H17" s="15" t="n">
        <v>14</v>
      </c>
      <c r="I17" s="15" t="n">
        <v>15.3</v>
      </c>
      <c r="J17" s="15" t="n">
        <v>17</v>
      </c>
      <c r="K17" s="15" t="n">
        <v>14.4</v>
      </c>
      <c r="L17" s="15" t="n">
        <v>17</v>
      </c>
      <c r="M17" s="15" t="n">
        <v>14.4</v>
      </c>
      <c r="N17" s="16">
        <f>AVERAGE(B17:M17)</f>
        <v/>
      </c>
    </row>
    <row r="18">
      <c r="A18" s="2" t="inlineStr">
        <is>
          <t>CPM – Cost per 1,000 Impressions (₹)</t>
        </is>
      </c>
      <c r="B18" s="15" t="n">
        <v>7.1</v>
      </c>
      <c r="C18" s="15" t="n">
        <v>7.1</v>
      </c>
      <c r="D18" s="15" t="n">
        <v>7.9</v>
      </c>
      <c r="E18" s="15" t="n">
        <v>7.9</v>
      </c>
      <c r="F18" s="15" t="n">
        <v>6.5</v>
      </c>
      <c r="G18" s="15" t="n">
        <v>7.9</v>
      </c>
      <c r="H18" s="15" t="n">
        <v>6.5</v>
      </c>
      <c r="I18" s="15" t="n">
        <v>7.1</v>
      </c>
      <c r="J18" s="15" t="n">
        <v>7.9</v>
      </c>
      <c r="K18" s="15" t="n">
        <v>6.7</v>
      </c>
      <c r="L18" s="15" t="n">
        <v>7.9</v>
      </c>
      <c r="M18" s="15" t="n">
        <v>6.7</v>
      </c>
      <c r="N18" s="16">
        <f>AVERAGE(B18:M18)</f>
        <v/>
      </c>
    </row>
    <row r="19">
      <c r="A19" s="2" t="inlineStr">
        <is>
          <t>CPV – Cost per 3-Sec Video View, Meta (₹)</t>
        </is>
      </c>
      <c r="B19" s="17" t="n">
        <v>0.153</v>
      </c>
      <c r="C19" s="17" t="n">
        <v>0.153</v>
      </c>
      <c r="D19" s="17" t="n">
        <v>0.17</v>
      </c>
      <c r="E19" s="17" t="n">
        <v>0.17</v>
      </c>
      <c r="F19" s="17" t="n">
        <v>0.14</v>
      </c>
      <c r="G19" s="17" t="n">
        <v>0.17</v>
      </c>
      <c r="H19" s="17" t="n">
        <v>0.14</v>
      </c>
      <c r="I19" s="17" t="n">
        <v>0.153</v>
      </c>
      <c r="J19" s="17" t="n">
        <v>0.17</v>
      </c>
      <c r="K19" s="17" t="n">
        <v>0.144</v>
      </c>
      <c r="L19" s="17" t="n">
        <v>0.17</v>
      </c>
      <c r="M19" s="17" t="n">
        <v>0.144</v>
      </c>
      <c r="N19" s="18">
        <f>AVERAGE(B19:M19)</f>
        <v/>
      </c>
    </row>
    <row r="20">
      <c r="A20" s="2" t="inlineStr">
        <is>
          <t>CPE – Cost per Engagement (₹)</t>
        </is>
      </c>
      <c r="B20" s="17" t="n">
        <v>0.255</v>
      </c>
      <c r="C20" s="17" t="n">
        <v>0.255</v>
      </c>
      <c r="D20" s="17" t="n">
        <v>0.283</v>
      </c>
      <c r="E20" s="17" t="n">
        <v>0.283</v>
      </c>
      <c r="F20" s="17" t="n">
        <v>0.233</v>
      </c>
      <c r="G20" s="17" t="n">
        <v>0.283</v>
      </c>
      <c r="H20" s="17" t="n">
        <v>0.233</v>
      </c>
      <c r="I20" s="17" t="n">
        <v>0.255</v>
      </c>
      <c r="J20" s="17" t="n">
        <v>0.283</v>
      </c>
      <c r="K20" s="17" t="n">
        <v>0.24</v>
      </c>
      <c r="L20" s="17" t="n">
        <v>0.283</v>
      </c>
      <c r="M20" s="17" t="n">
        <v>0.24</v>
      </c>
      <c r="N20" s="18">
        <f>AVERAGE(B20:M20)</f>
        <v/>
      </c>
    </row>
    <row r="21">
      <c r="A21" s="2" t="inlineStr">
        <is>
          <t>Cost per FB Page Like (₹)</t>
        </is>
      </c>
      <c r="B21" s="19" t="n">
        <v>5.76</v>
      </c>
      <c r="C21" s="19" t="n">
        <v>5.76</v>
      </c>
      <c r="D21" s="19" t="n">
        <v>6.4</v>
      </c>
      <c r="E21" s="19" t="n">
        <v>6.4</v>
      </c>
      <c r="F21" s="19" t="n">
        <v>5.27</v>
      </c>
      <c r="G21" s="19" t="n">
        <v>6.4</v>
      </c>
      <c r="H21" s="19" t="n">
        <v>5.27</v>
      </c>
      <c r="I21" s="19" t="n">
        <v>5.76</v>
      </c>
      <c r="J21" s="19" t="n">
        <v>6.4</v>
      </c>
      <c r="K21" s="19" t="n">
        <v>5.42</v>
      </c>
      <c r="L21" s="19" t="n">
        <v>6.4</v>
      </c>
      <c r="M21" s="19" t="n">
        <v>5.42</v>
      </c>
      <c r="N21" s="20">
        <f>AVERAGE(B21:M21)</f>
        <v/>
      </c>
    </row>
    <row r="22">
      <c r="A22" s="2" t="inlineStr">
        <is>
          <t>Cost per IG Follower (₹)</t>
        </is>
      </c>
      <c r="B22" s="19" t="n">
        <v>4.51</v>
      </c>
      <c r="C22" s="19" t="n">
        <v>4.51</v>
      </c>
      <c r="D22" s="19" t="n">
        <v>5.01</v>
      </c>
      <c r="E22" s="19" t="n">
        <v>5.01</v>
      </c>
      <c r="F22" s="19" t="n">
        <v>4.13</v>
      </c>
      <c r="G22" s="19" t="n">
        <v>5.01</v>
      </c>
      <c r="H22" s="19" t="n">
        <v>4.13</v>
      </c>
      <c r="I22" s="19" t="n">
        <v>4.51</v>
      </c>
      <c r="J22" s="19" t="n">
        <v>5.01</v>
      </c>
      <c r="K22" s="19" t="n">
        <v>4.24</v>
      </c>
      <c r="L22" s="19" t="n">
        <v>5.01</v>
      </c>
      <c r="M22" s="19" t="n">
        <v>4.24</v>
      </c>
      <c r="N22" s="20">
        <f>AVERAGE(B22:M22)</f>
        <v/>
      </c>
    </row>
    <row r="23">
      <c r="A23" s="2" t="inlineStr">
        <is>
          <t>CPV – Cost per YT View, Centuary (₹)</t>
        </is>
      </c>
      <c r="B23" s="17" t="n">
        <v>0.122</v>
      </c>
      <c r="C23" s="17" t="n">
        <v>0.122</v>
      </c>
      <c r="D23" s="17" t="n">
        <v>0.136</v>
      </c>
      <c r="E23" s="17" t="n">
        <v>0.136</v>
      </c>
      <c r="F23" s="17" t="n">
        <v>0.112</v>
      </c>
      <c r="G23" s="17" t="n">
        <v>0.136</v>
      </c>
      <c r="H23" s="17" t="n">
        <v>0.112</v>
      </c>
      <c r="I23" s="17" t="n">
        <v>0.122</v>
      </c>
      <c r="J23" s="17" t="n">
        <v>0.136</v>
      </c>
      <c r="K23" s="17" t="n">
        <v>0.115</v>
      </c>
      <c r="L23" s="17" t="n">
        <v>0.136</v>
      </c>
      <c r="M23" s="17" t="n">
        <v>0.115</v>
      </c>
      <c r="N23" s="18">
        <f>AVERAGE(B23:M23)</f>
        <v/>
      </c>
    </row>
    <row r="24">
      <c r="A24" s="2" t="inlineStr">
        <is>
          <t>Cost per YT Subscriber – Centuary (₹)</t>
        </is>
      </c>
      <c r="B24" s="19" t="n">
        <v>7.3</v>
      </c>
      <c r="C24" s="19" t="n">
        <v>7.3</v>
      </c>
      <c r="D24" s="19" t="n">
        <v>8.1</v>
      </c>
      <c r="E24" s="19" t="n">
        <v>8.1</v>
      </c>
      <c r="F24" s="19" t="n">
        <v>6.7</v>
      </c>
      <c r="G24" s="19" t="n">
        <v>8.1</v>
      </c>
      <c r="H24" s="19" t="n">
        <v>6.7</v>
      </c>
      <c r="I24" s="19" t="n">
        <v>7.3</v>
      </c>
      <c r="J24" s="19" t="n">
        <v>8.1</v>
      </c>
      <c r="K24" s="19" t="n">
        <v>6.8</v>
      </c>
      <c r="L24" s="19" t="n">
        <v>8.1</v>
      </c>
      <c r="M24" s="19" t="n">
        <v>6.8</v>
      </c>
      <c r="N24" s="20">
        <f>AVERAGE(B24:M24)</f>
        <v/>
      </c>
    </row>
    <row r="25">
      <c r="A25" s="2" t="inlineStr">
        <is>
          <t>CPV – Cost per YT View, Beddy (₹)</t>
        </is>
      </c>
      <c r="B25" s="17" t="n">
        <v>0.25</v>
      </c>
      <c r="C25" s="17" t="n">
        <v>0.25</v>
      </c>
      <c r="D25" s="17" t="n">
        <v>0.25</v>
      </c>
      <c r="E25" s="17" t="n">
        <v>0.25</v>
      </c>
      <c r="F25" s="17" t="n">
        <v>0.25</v>
      </c>
      <c r="G25" s="17" t="n">
        <v>0.25</v>
      </c>
      <c r="H25" s="17" t="n">
        <v>0.25</v>
      </c>
      <c r="I25" s="17" t="n">
        <v>0.25</v>
      </c>
      <c r="J25" s="17" t="n">
        <v>0.25</v>
      </c>
      <c r="K25" s="17" t="n">
        <v>0.25</v>
      </c>
      <c r="L25" s="17" t="n">
        <v>0.25</v>
      </c>
      <c r="M25" s="17" t="n">
        <v>0.25</v>
      </c>
      <c r="N25" s="18">
        <f>AVERAGE(B25:M25)</f>
        <v/>
      </c>
    </row>
    <row r="26">
      <c r="A26" s="2" t="inlineStr">
        <is>
          <t>Cost per YT Subscriber – Beddy (₹)</t>
        </is>
      </c>
      <c r="B26" s="19" t="n">
        <v>15</v>
      </c>
      <c r="C26" s="19" t="n">
        <v>15</v>
      </c>
      <c r="D26" s="19" t="n">
        <v>15</v>
      </c>
      <c r="E26" s="19" t="n">
        <v>15</v>
      </c>
      <c r="F26" s="19" t="n">
        <v>15</v>
      </c>
      <c r="G26" s="19" t="n">
        <v>15</v>
      </c>
      <c r="H26" s="19" t="n">
        <v>15</v>
      </c>
      <c r="I26" s="19" t="n">
        <v>15</v>
      </c>
      <c r="J26" s="19" t="n">
        <v>15</v>
      </c>
      <c r="K26" s="19" t="n">
        <v>15</v>
      </c>
      <c r="L26" s="19" t="n">
        <v>15</v>
      </c>
      <c r="M26" s="19" t="n">
        <v>15</v>
      </c>
      <c r="N26" s="20">
        <f>AVERAGE(B26:M26)</f>
        <v/>
      </c>
    </row>
    <row r="28">
      <c r="A28" s="1" t="inlineStr">
        <is>
          <t>CENTUARY – META KPI TARGETS  ▸  Auto-calculated from Budget ÷ Rates</t>
        </is>
      </c>
    </row>
    <row r="29">
      <c r="A29" s="10" t="inlineStr">
        <is>
          <t>Metric / Campaign</t>
        </is>
      </c>
      <c r="B29" s="10" t="inlineStr">
        <is>
          <t>Apr'26</t>
        </is>
      </c>
      <c r="C29" s="10" t="inlineStr">
        <is>
          <t>May'26</t>
        </is>
      </c>
      <c r="D29" s="10" t="inlineStr">
        <is>
          <t>Jun'26</t>
        </is>
      </c>
      <c r="E29" s="10" t="inlineStr">
        <is>
          <t>Jul'26</t>
        </is>
      </c>
      <c r="F29" s="10" t="inlineStr">
        <is>
          <t>Aug'26</t>
        </is>
      </c>
      <c r="G29" s="10" t="inlineStr">
        <is>
          <t>Sep'26</t>
        </is>
      </c>
      <c r="H29" s="10" t="inlineStr">
        <is>
          <t>Oct'26</t>
        </is>
      </c>
      <c r="I29" s="10" t="inlineStr">
        <is>
          <t>Nov'26</t>
        </is>
      </c>
      <c r="J29" s="10" t="inlineStr">
        <is>
          <t>Dec'26</t>
        </is>
      </c>
      <c r="K29" s="10" t="inlineStr">
        <is>
          <t>Jan'27</t>
        </is>
      </c>
      <c r="L29" s="10" t="inlineStr">
        <is>
          <t>Feb'27</t>
        </is>
      </c>
      <c r="M29" s="10" t="inlineStr">
        <is>
          <t>Mar'27</t>
        </is>
      </c>
      <c r="N29" s="10" t="inlineStr">
        <is>
          <t>Annual Total</t>
        </is>
      </c>
    </row>
    <row r="30">
      <c r="A30" s="21" t="inlineStr">
        <is>
          <t>Overall Reach – Paid</t>
        </is>
      </c>
      <c r="B30" s="22">
        <f>IFERROR(ROUND(B4*1000/B17,0),0)</f>
        <v/>
      </c>
      <c r="C30" s="22">
        <f>IFERROR(ROUND(C4*1000/C17,0),0)</f>
        <v/>
      </c>
      <c r="D30" s="22">
        <f>IFERROR(ROUND(D4*1000/D17,0),0)</f>
        <v/>
      </c>
      <c r="E30" s="22">
        <f>IFERROR(ROUND(E4*1000/E17,0),0)</f>
        <v/>
      </c>
      <c r="F30" s="22">
        <f>IFERROR(ROUND(F4*1000/F17,0),0)</f>
        <v/>
      </c>
      <c r="G30" s="22">
        <f>IFERROR(ROUND(G4*1000/G17,0),0)</f>
        <v/>
      </c>
      <c r="H30" s="22">
        <f>IFERROR(ROUND(H4*1000/H17,0),0)</f>
        <v/>
      </c>
      <c r="I30" s="22">
        <f>IFERROR(ROUND(I4*1000/I17,0),0)</f>
        <v/>
      </c>
      <c r="J30" s="22">
        <f>IFERROR(ROUND(J4*1000/J17,0),0)</f>
        <v/>
      </c>
      <c r="K30" s="22">
        <f>IFERROR(ROUND(K4*1000/K17,0),0)</f>
        <v/>
      </c>
      <c r="L30" s="22">
        <f>IFERROR(ROUND(L4*1000/L17,0),0)</f>
        <v/>
      </c>
      <c r="M30" s="22">
        <f>IFERROR(ROUND(M4*1000/M17,0),0)</f>
        <v/>
      </c>
      <c r="N30" s="22">
        <f>SUM(B30:M30)</f>
        <v/>
      </c>
    </row>
    <row r="31">
      <c r="A31" s="21" t="inlineStr">
        <is>
          <t>Overall Impressions – Paid</t>
        </is>
      </c>
      <c r="B31" s="22">
        <f>IFERROR(ROUND(B4*1000/B18,0),0)</f>
        <v/>
      </c>
      <c r="C31" s="22">
        <f>IFERROR(ROUND(C4*1000/C18,0),0)</f>
        <v/>
      </c>
      <c r="D31" s="22">
        <f>IFERROR(ROUND(D4*1000/D18,0),0)</f>
        <v/>
      </c>
      <c r="E31" s="22">
        <f>IFERROR(ROUND(E4*1000/E18,0),0)</f>
        <v/>
      </c>
      <c r="F31" s="22">
        <f>IFERROR(ROUND(F4*1000/F18,0),0)</f>
        <v/>
      </c>
      <c r="G31" s="22">
        <f>IFERROR(ROUND(G4*1000/G18,0),0)</f>
        <v/>
      </c>
      <c r="H31" s="22">
        <f>IFERROR(ROUND(H4*1000/H18,0),0)</f>
        <v/>
      </c>
      <c r="I31" s="22">
        <f>IFERROR(ROUND(I4*1000/I18,0),0)</f>
        <v/>
      </c>
      <c r="J31" s="22">
        <f>IFERROR(ROUND(J4*1000/J18,0),0)</f>
        <v/>
      </c>
      <c r="K31" s="22">
        <f>IFERROR(ROUND(K4*1000/K18,0),0)</f>
        <v/>
      </c>
      <c r="L31" s="22">
        <f>IFERROR(ROUND(L4*1000/L18,0),0)</f>
        <v/>
      </c>
      <c r="M31" s="22">
        <f>IFERROR(ROUND(M4*1000/M18,0),0)</f>
        <v/>
      </c>
      <c r="N31" s="22">
        <f>SUM(B31:M31)</f>
        <v/>
      </c>
    </row>
    <row r="32">
      <c r="A32" s="21" t="inlineStr">
        <is>
          <t>3-Sec Video Views – Meta</t>
        </is>
      </c>
      <c r="B32" s="22">
        <f>IFERROR(ROUND(B5/B19,0),0)</f>
        <v/>
      </c>
      <c r="C32" s="22">
        <f>IFERROR(ROUND(C5/C19,0),0)</f>
        <v/>
      </c>
      <c r="D32" s="22">
        <f>IFERROR(ROUND(D5/D19,0),0)</f>
        <v/>
      </c>
      <c r="E32" s="22">
        <f>IFERROR(ROUND(E5/E19,0),0)</f>
        <v/>
      </c>
      <c r="F32" s="22">
        <f>IFERROR(ROUND(F5/F19,0),0)</f>
        <v/>
      </c>
      <c r="G32" s="22">
        <f>IFERROR(ROUND(G5/G19,0),0)</f>
        <v/>
      </c>
      <c r="H32" s="22">
        <f>IFERROR(ROUND(H5/H19,0),0)</f>
        <v/>
      </c>
      <c r="I32" s="22">
        <f>IFERROR(ROUND(I5/I19,0),0)</f>
        <v/>
      </c>
      <c r="J32" s="22">
        <f>IFERROR(ROUND(J5/J19,0),0)</f>
        <v/>
      </c>
      <c r="K32" s="22">
        <f>IFERROR(ROUND(K5/K19,0),0)</f>
        <v/>
      </c>
      <c r="L32" s="22">
        <f>IFERROR(ROUND(L5/L19,0),0)</f>
        <v/>
      </c>
      <c r="M32" s="22">
        <f>IFERROR(ROUND(M5/M19,0),0)</f>
        <v/>
      </c>
      <c r="N32" s="22">
        <f>SUM(B32:M32)</f>
        <v/>
      </c>
    </row>
    <row r="33">
      <c r="A33" s="21" t="inlineStr">
        <is>
          <t>Reel Views – Meta</t>
        </is>
      </c>
      <c r="B33" s="22">
        <f>IFERROR(ROUND(B32*1.428571,0),0)</f>
        <v/>
      </c>
      <c r="C33" s="22">
        <f>IFERROR(ROUND(C32*1.428571,0),0)</f>
        <v/>
      </c>
      <c r="D33" s="22">
        <f>IFERROR(ROUND(D32*1.428571,0),0)</f>
        <v/>
      </c>
      <c r="E33" s="22">
        <f>IFERROR(ROUND(E32*1.428571,0),0)</f>
        <v/>
      </c>
      <c r="F33" s="22">
        <f>IFERROR(ROUND(F32*1.428571,0),0)</f>
        <v/>
      </c>
      <c r="G33" s="22">
        <f>IFERROR(ROUND(G32*1.428571,0),0)</f>
        <v/>
      </c>
      <c r="H33" s="22">
        <f>IFERROR(ROUND(H32*1.428571,0),0)</f>
        <v/>
      </c>
      <c r="I33" s="22">
        <f>IFERROR(ROUND(I32*1.428571,0),0)</f>
        <v/>
      </c>
      <c r="J33" s="22">
        <f>IFERROR(ROUND(J32*1.428571,0),0)</f>
        <v/>
      </c>
      <c r="K33" s="22">
        <f>IFERROR(ROUND(K32*1.428571,0),0)</f>
        <v/>
      </c>
      <c r="L33" s="22">
        <f>IFERROR(ROUND(L32*1.428571,0),0)</f>
        <v/>
      </c>
      <c r="M33" s="22">
        <f>IFERROR(ROUND(M32*1.428571,0),0)</f>
        <v/>
      </c>
      <c r="N33" s="22">
        <f>SUM(B33:M33)</f>
        <v/>
      </c>
    </row>
    <row r="34">
      <c r="A34" s="21" t="inlineStr">
        <is>
          <t>Engagement</t>
        </is>
      </c>
      <c r="B34" s="22">
        <f>IFERROR(ROUND(B5/B20,0),0)</f>
        <v/>
      </c>
      <c r="C34" s="22">
        <f>IFERROR(ROUND(C5/C20,0),0)</f>
        <v/>
      </c>
      <c r="D34" s="22">
        <f>IFERROR(ROUND(D5/D20,0),0)</f>
        <v/>
      </c>
      <c r="E34" s="22">
        <f>IFERROR(ROUND(E5/E20,0),0)</f>
        <v/>
      </c>
      <c r="F34" s="22">
        <f>IFERROR(ROUND(F5/F20,0),0)</f>
        <v/>
      </c>
      <c r="G34" s="22">
        <f>IFERROR(ROUND(G5/G20,0),0)</f>
        <v/>
      </c>
      <c r="H34" s="22">
        <f>IFERROR(ROUND(H5/H20,0),0)</f>
        <v/>
      </c>
      <c r="I34" s="22">
        <f>IFERROR(ROUND(I5/I20,0),0)</f>
        <v/>
      </c>
      <c r="J34" s="22">
        <f>IFERROR(ROUND(J5/J20,0),0)</f>
        <v/>
      </c>
      <c r="K34" s="22">
        <f>IFERROR(ROUND(K5/K20,0),0)</f>
        <v/>
      </c>
      <c r="L34" s="22">
        <f>IFERROR(ROUND(L5/L20,0),0)</f>
        <v/>
      </c>
      <c r="M34" s="22">
        <f>IFERROR(ROUND(M5/M20,0),0)</f>
        <v/>
      </c>
      <c r="N34" s="22">
        <f>SUM(B34:M34)</f>
        <v/>
      </c>
    </row>
    <row r="35">
      <c r="A35" s="21" t="inlineStr">
        <is>
          <t>Engagement Rate %</t>
        </is>
      </c>
      <c r="B35" s="23">
        <f>IFERROR(B34/B30,0)</f>
        <v/>
      </c>
      <c r="C35" s="23">
        <f>IFERROR(C34/C30,0)</f>
        <v/>
      </c>
      <c r="D35" s="23">
        <f>IFERROR(D34/D30,0)</f>
        <v/>
      </c>
      <c r="E35" s="23">
        <f>IFERROR(E34/E30,0)</f>
        <v/>
      </c>
      <c r="F35" s="23">
        <f>IFERROR(F34/F30,0)</f>
        <v/>
      </c>
      <c r="G35" s="23">
        <f>IFERROR(G34/G30,0)</f>
        <v/>
      </c>
      <c r="H35" s="23">
        <f>IFERROR(H34/H30,0)</f>
        <v/>
      </c>
      <c r="I35" s="23">
        <f>IFERROR(I34/I30,0)</f>
        <v/>
      </c>
      <c r="J35" s="23">
        <f>IFERROR(J34/J30,0)</f>
        <v/>
      </c>
      <c r="K35" s="23">
        <f>IFERROR(K34/K30,0)</f>
        <v/>
      </c>
      <c r="L35" s="23">
        <f>IFERROR(L34/L30,0)</f>
        <v/>
      </c>
      <c r="M35" s="23">
        <f>IFERROR(M34/M30,0)</f>
        <v/>
      </c>
      <c r="N35" s="23">
        <f>SUM(B35:M35)</f>
        <v/>
      </c>
    </row>
    <row r="36">
      <c r="A36" s="21" t="inlineStr">
        <is>
          <t>IG Followers</t>
        </is>
      </c>
      <c r="B36" s="22">
        <f>IFERROR(ROUND(B8/B22,0),0)</f>
        <v/>
      </c>
      <c r="C36" s="22">
        <f>IFERROR(ROUND(C8/C22,0),0)</f>
        <v/>
      </c>
      <c r="D36" s="22">
        <f>IFERROR(ROUND(D8/D22,0),0)</f>
        <v/>
      </c>
      <c r="E36" s="22">
        <f>IFERROR(ROUND(E8/E22,0),0)</f>
        <v/>
      </c>
      <c r="F36" s="22">
        <f>IFERROR(ROUND(F8/F22,0),0)</f>
        <v/>
      </c>
      <c r="G36" s="22">
        <f>IFERROR(ROUND(G8/G22,0),0)</f>
        <v/>
      </c>
      <c r="H36" s="22">
        <f>IFERROR(ROUND(H8/H22,0),0)</f>
        <v/>
      </c>
      <c r="I36" s="22">
        <f>IFERROR(ROUND(I8/I22,0),0)</f>
        <v/>
      </c>
      <c r="J36" s="22">
        <f>IFERROR(ROUND(J8/J22,0),0)</f>
        <v/>
      </c>
      <c r="K36" s="22">
        <f>IFERROR(ROUND(K8/K22,0),0)</f>
        <v/>
      </c>
      <c r="L36" s="22">
        <f>IFERROR(ROUND(L8/L22,0),0)</f>
        <v/>
      </c>
      <c r="M36" s="22">
        <f>IFERROR(ROUND(M8/M22,0),0)</f>
        <v/>
      </c>
      <c r="N36" s="22">
        <f>SUM(B36:M36)</f>
        <v/>
      </c>
    </row>
    <row r="37">
      <c r="A37" s="21" t="inlineStr">
        <is>
          <t>Facebook Followers</t>
        </is>
      </c>
      <c r="B37" s="22">
        <f>IFERROR(ROUND(B7/B21,0),0)</f>
        <v/>
      </c>
      <c r="C37" s="22">
        <f>IFERROR(ROUND(C7/C21,0),0)</f>
        <v/>
      </c>
      <c r="D37" s="22">
        <f>IFERROR(ROUND(D7/D21,0),0)</f>
        <v/>
      </c>
      <c r="E37" s="22">
        <f>IFERROR(ROUND(E7/E21,0),0)</f>
        <v/>
      </c>
      <c r="F37" s="22">
        <f>IFERROR(ROUND(F7/F21,0),0)</f>
        <v/>
      </c>
      <c r="G37" s="22">
        <f>IFERROR(ROUND(G7/G21,0),0)</f>
        <v/>
      </c>
      <c r="H37" s="22">
        <f>IFERROR(ROUND(H7/H21,0),0)</f>
        <v/>
      </c>
      <c r="I37" s="22">
        <f>IFERROR(ROUND(I7/I21,0),0)</f>
        <v/>
      </c>
      <c r="J37" s="22">
        <f>IFERROR(ROUND(J7/J21,0),0)</f>
        <v/>
      </c>
      <c r="K37" s="22">
        <f>IFERROR(ROUND(K7/K21,0),0)</f>
        <v/>
      </c>
      <c r="L37" s="22">
        <f>IFERROR(ROUND(L7/L21,0),0)</f>
        <v/>
      </c>
      <c r="M37" s="22">
        <f>IFERROR(ROUND(M7/M21,0),0)</f>
        <v/>
      </c>
      <c r="N37" s="22">
        <f>SUM(B37:M37)</f>
        <v/>
      </c>
    </row>
    <row r="38">
      <c r="A38" s="21" t="inlineStr">
        <is>
          <t>X (Twitter) Followers</t>
        </is>
      </c>
    </row>
    <row r="39">
      <c r="A39" s="21" t="inlineStr">
        <is>
          <t>LinkedIn Followers</t>
        </is>
      </c>
    </row>
    <row r="40">
      <c r="A40" s="21" t="inlineStr">
        <is>
          <t>Link Clicks – Meta (input required)</t>
        </is>
      </c>
    </row>
    <row r="41">
      <c r="A41" s="1" t="inlineStr">
        <is>
          <t>ORIGINAL ANNUAL TARGETS (reference – do not edit)</t>
        </is>
      </c>
    </row>
    <row r="42">
      <c r="A42" s="10" t="inlineStr">
        <is>
          <t>Metric / Campaign</t>
        </is>
      </c>
      <c r="B42" s="10" t="inlineStr">
        <is>
          <t>Apr'26</t>
        </is>
      </c>
      <c r="C42" s="10" t="inlineStr">
        <is>
          <t>May'26</t>
        </is>
      </c>
      <c r="D42" s="10" t="inlineStr">
        <is>
          <t>Jun'26</t>
        </is>
      </c>
      <c r="E42" s="10" t="inlineStr">
        <is>
          <t>Jul'26</t>
        </is>
      </c>
      <c r="F42" s="10" t="inlineStr">
        <is>
          <t>Aug'26</t>
        </is>
      </c>
      <c r="G42" s="10" t="inlineStr">
        <is>
          <t>Sep'26</t>
        </is>
      </c>
      <c r="H42" s="10" t="inlineStr">
        <is>
          <t>Oct'26</t>
        </is>
      </c>
      <c r="I42" s="10" t="inlineStr">
        <is>
          <t>Nov'26</t>
        </is>
      </c>
      <c r="J42" s="10" t="inlineStr">
        <is>
          <t>Dec'26</t>
        </is>
      </c>
      <c r="K42" s="10" t="inlineStr">
        <is>
          <t>Jan'27</t>
        </is>
      </c>
      <c r="L42" s="10" t="inlineStr">
        <is>
          <t>Feb'27</t>
        </is>
      </c>
      <c r="M42" s="10" t="inlineStr">
        <is>
          <t>Mar'27</t>
        </is>
      </c>
      <c r="N42" s="10" t="inlineStr">
        <is>
          <t>Annual Total</t>
        </is>
      </c>
    </row>
    <row r="43">
      <c r="A43" s="24" t="inlineStr">
        <is>
          <t>Overall Reach – Paid (original)</t>
        </is>
      </c>
      <c r="B43" s="25" t="n">
        <v>14000000</v>
      </c>
      <c r="C43" s="25" t="n">
        <v>14000000</v>
      </c>
      <c r="D43" s="25" t="n">
        <v>10000000</v>
      </c>
      <c r="E43" s="25" t="n">
        <v>10000000</v>
      </c>
      <c r="F43" s="25" t="n">
        <v>28000000</v>
      </c>
      <c r="G43" s="25" t="n">
        <v>10000000</v>
      </c>
      <c r="H43" s="25" t="n">
        <v>28000000</v>
      </c>
      <c r="I43" s="25" t="n">
        <v>14000000</v>
      </c>
      <c r="J43" s="25" t="n">
        <v>10000000</v>
      </c>
      <c r="K43" s="25" t="n">
        <v>26000000</v>
      </c>
      <c r="L43" s="25" t="n">
        <v>10000000</v>
      </c>
      <c r="M43" s="25" t="n">
        <v>26000000</v>
      </c>
      <c r="N43" s="25" t="n">
        <v>200000000</v>
      </c>
    </row>
    <row r="44">
      <c r="A44" s="24" t="inlineStr">
        <is>
          <t>Overall Impressions – Paid (original)</t>
        </is>
      </c>
      <c r="B44" s="25" t="n">
        <v>30000000</v>
      </c>
      <c r="C44" s="25" t="n">
        <v>30000000</v>
      </c>
      <c r="D44" s="25" t="n">
        <v>21428571</v>
      </c>
      <c r="E44" s="25" t="n">
        <v>21428571</v>
      </c>
      <c r="F44" s="25" t="n">
        <v>60000000</v>
      </c>
      <c r="G44" s="25" t="n">
        <v>21428571</v>
      </c>
      <c r="H44" s="25" t="n">
        <v>60000000</v>
      </c>
      <c r="I44" s="25" t="n">
        <v>30000000</v>
      </c>
      <c r="J44" s="25" t="n">
        <v>21428571</v>
      </c>
      <c r="K44" s="25" t="n">
        <v>55714286</v>
      </c>
      <c r="L44" s="25" t="n">
        <v>21428571</v>
      </c>
      <c r="M44" s="25" t="n">
        <v>55714286</v>
      </c>
      <c r="N44" s="25" t="n">
        <v>428571429</v>
      </c>
    </row>
    <row r="45">
      <c r="A45" s="24" t="inlineStr">
        <is>
          <t>3-Sec Video Views – Meta (original)</t>
        </is>
      </c>
      <c r="B45" s="25" t="n">
        <v>490000</v>
      </c>
      <c r="C45" s="25" t="n">
        <v>490000</v>
      </c>
      <c r="D45" s="25" t="n">
        <v>350000</v>
      </c>
      <c r="E45" s="25" t="n">
        <v>350000</v>
      </c>
      <c r="F45" s="25" t="n">
        <v>980000</v>
      </c>
      <c r="G45" s="25" t="n">
        <v>350000</v>
      </c>
      <c r="H45" s="25" t="n">
        <v>980000</v>
      </c>
      <c r="I45" s="25" t="n">
        <v>490000</v>
      </c>
      <c r="J45" s="25" t="n">
        <v>350000</v>
      </c>
      <c r="K45" s="25" t="n">
        <v>910000</v>
      </c>
      <c r="L45" s="25" t="n">
        <v>350000</v>
      </c>
      <c r="M45" s="25" t="n">
        <v>910000</v>
      </c>
      <c r="N45" s="25" t="n">
        <v>7000000</v>
      </c>
    </row>
    <row r="46">
      <c r="A46" s="24" t="inlineStr">
        <is>
          <t>Reel Views – Meta (original)</t>
        </is>
      </c>
      <c r="B46" s="25" t="n">
        <v>700000</v>
      </c>
      <c r="C46" s="25" t="n">
        <v>700000</v>
      </c>
      <c r="D46" s="25" t="n">
        <v>500000</v>
      </c>
      <c r="E46" s="25" t="n">
        <v>500000</v>
      </c>
      <c r="F46" s="25" t="n">
        <v>1400000</v>
      </c>
      <c r="G46" s="25" t="n">
        <v>500000</v>
      </c>
      <c r="H46" s="25" t="n">
        <v>1400000</v>
      </c>
      <c r="I46" s="25" t="n">
        <v>700000</v>
      </c>
      <c r="J46" s="25" t="n">
        <v>500000</v>
      </c>
      <c r="K46" s="25" t="n">
        <v>1300000</v>
      </c>
      <c r="L46" s="25" t="n">
        <v>500000</v>
      </c>
      <c r="M46" s="25" t="n">
        <v>1300000</v>
      </c>
      <c r="N46" s="25" t="n">
        <v>10000000</v>
      </c>
    </row>
    <row r="47">
      <c r="A47" s="24" t="inlineStr">
        <is>
          <t>Engagement (original)</t>
        </is>
      </c>
      <c r="B47" s="25" t="n">
        <v>294000</v>
      </c>
      <c r="C47" s="25" t="n">
        <v>294000</v>
      </c>
      <c r="D47" s="25" t="n">
        <v>210000</v>
      </c>
      <c r="E47" s="25" t="n">
        <v>210000</v>
      </c>
      <c r="F47" s="25" t="n">
        <v>588000</v>
      </c>
      <c r="G47" s="25" t="n">
        <v>210000</v>
      </c>
      <c r="H47" s="25" t="n">
        <v>588000</v>
      </c>
      <c r="I47" s="25" t="n">
        <v>294000</v>
      </c>
      <c r="J47" s="25" t="n">
        <v>210000</v>
      </c>
      <c r="K47" s="25" t="n">
        <v>546000</v>
      </c>
      <c r="L47" s="25" t="n">
        <v>210000</v>
      </c>
      <c r="M47" s="25" t="n">
        <v>546000</v>
      </c>
      <c r="N47" s="25" t="n">
        <v>4200000</v>
      </c>
    </row>
    <row r="48">
      <c r="A48" s="24" t="inlineStr">
        <is>
          <t>IG Followers (original)</t>
        </is>
      </c>
      <c r="B48" s="25" t="n">
        <v>6174</v>
      </c>
      <c r="C48" s="25" t="n">
        <v>6174</v>
      </c>
      <c r="D48" s="25" t="n">
        <v>4410</v>
      </c>
      <c r="E48" s="25" t="n">
        <v>4410</v>
      </c>
      <c r="F48" s="25" t="n">
        <v>12347</v>
      </c>
      <c r="G48" s="25" t="n">
        <v>4410</v>
      </c>
      <c r="H48" s="25" t="n">
        <v>12347</v>
      </c>
      <c r="I48" s="25" t="n">
        <v>6174</v>
      </c>
      <c r="J48" s="25" t="n">
        <v>4410</v>
      </c>
      <c r="K48" s="25" t="n">
        <v>11465</v>
      </c>
      <c r="L48" s="25" t="n">
        <v>4410</v>
      </c>
      <c r="M48" s="25" t="n">
        <v>11465</v>
      </c>
      <c r="N48" s="25" t="n">
        <v>88196</v>
      </c>
    </row>
    <row r="49">
      <c r="A49" s="24" t="inlineStr">
        <is>
          <t>Facebook Followers (original)</t>
        </is>
      </c>
      <c r="B49" s="25" t="n">
        <v>2604</v>
      </c>
      <c r="C49" s="25" t="n">
        <v>2604</v>
      </c>
      <c r="D49" s="25" t="n">
        <v>1860</v>
      </c>
      <c r="E49" s="25" t="n">
        <v>1860</v>
      </c>
      <c r="F49" s="25" t="n">
        <v>5208</v>
      </c>
      <c r="G49" s="25" t="n">
        <v>1860</v>
      </c>
      <c r="H49" s="25" t="n">
        <v>5208</v>
      </c>
      <c r="I49" s="25" t="n">
        <v>2604</v>
      </c>
      <c r="J49" s="25" t="n">
        <v>1860</v>
      </c>
      <c r="K49" s="25" t="n">
        <v>4836</v>
      </c>
      <c r="L49" s="25" t="n">
        <v>1860</v>
      </c>
      <c r="M49" s="25" t="n">
        <v>4836</v>
      </c>
      <c r="N49" s="25" t="n">
        <v>37200</v>
      </c>
    </row>
    <row r="51">
      <c r="A51" s="1" t="inlineStr">
        <is>
          <t>CENTUARY / BEDDY – YOUTUBE KPI TARGETS</t>
        </is>
      </c>
    </row>
    <row r="52">
      <c r="A52" s="10" t="inlineStr">
        <is>
          <t>Metric / Campaign</t>
        </is>
      </c>
      <c r="B52" s="10" t="inlineStr">
        <is>
          <t>Apr'26</t>
        </is>
      </c>
      <c r="C52" s="10" t="inlineStr">
        <is>
          <t>May'26</t>
        </is>
      </c>
      <c r="D52" s="10" t="inlineStr">
        <is>
          <t>Jun'26</t>
        </is>
      </c>
      <c r="E52" s="10" t="inlineStr">
        <is>
          <t>Jul'26</t>
        </is>
      </c>
      <c r="F52" s="10" t="inlineStr">
        <is>
          <t>Aug'26</t>
        </is>
      </c>
      <c r="G52" s="10" t="inlineStr">
        <is>
          <t>Sep'26</t>
        </is>
      </c>
      <c r="H52" s="10" t="inlineStr">
        <is>
          <t>Oct'26</t>
        </is>
      </c>
      <c r="I52" s="10" t="inlineStr">
        <is>
          <t>Nov'26</t>
        </is>
      </c>
      <c r="J52" s="10" t="inlineStr">
        <is>
          <t>Dec'26</t>
        </is>
      </c>
      <c r="K52" s="10" t="inlineStr">
        <is>
          <t>Jan'27</t>
        </is>
      </c>
      <c r="L52" s="10" t="inlineStr">
        <is>
          <t>Feb'27</t>
        </is>
      </c>
      <c r="M52" s="10" t="inlineStr">
        <is>
          <t>Mar'27</t>
        </is>
      </c>
      <c r="N52" s="10" t="inlineStr">
        <is>
          <t>Annual Total</t>
        </is>
      </c>
    </row>
    <row r="53">
      <c r="A53" s="21" t="inlineStr">
        <is>
          <t>Video Views – Centuary</t>
        </is>
      </c>
      <c r="B53" s="22">
        <f>IFERROR(ROUND(B9/B23,0),0)</f>
        <v/>
      </c>
      <c r="C53" s="22">
        <f>IFERROR(ROUND(C9/C23,0),0)</f>
        <v/>
      </c>
      <c r="D53" s="22">
        <f>IFERROR(ROUND(D9/D23,0),0)</f>
        <v/>
      </c>
      <c r="E53" s="22">
        <f>IFERROR(ROUND(E9/E23,0),0)</f>
        <v/>
      </c>
      <c r="F53" s="22">
        <f>IFERROR(ROUND(F9/F23,0),0)</f>
        <v/>
      </c>
      <c r="G53" s="22">
        <f>IFERROR(ROUND(G9/G23,0),0)</f>
        <v/>
      </c>
      <c r="H53" s="22">
        <f>IFERROR(ROUND(H9/H23,0),0)</f>
        <v/>
      </c>
      <c r="I53" s="22">
        <f>IFERROR(ROUND(I9/I23,0),0)</f>
        <v/>
      </c>
      <c r="J53" s="22">
        <f>IFERROR(ROUND(J9/J23,0),0)</f>
        <v/>
      </c>
      <c r="K53" s="22">
        <f>IFERROR(ROUND(K9/K23,0),0)</f>
        <v/>
      </c>
      <c r="L53" s="22">
        <f>IFERROR(ROUND(L9/L23,0),0)</f>
        <v/>
      </c>
      <c r="M53" s="22">
        <f>IFERROR(ROUND(M9/M23,0),0)</f>
        <v/>
      </c>
      <c r="N53" s="22">
        <f>SUM(B53:M53)</f>
        <v/>
      </c>
    </row>
    <row r="54">
      <c r="A54" s="21" t="inlineStr">
        <is>
          <t>Video Views – Beddy</t>
        </is>
      </c>
      <c r="B54" s="22">
        <f>IFERROR(ROUND(B11/B25,0),0)</f>
        <v/>
      </c>
      <c r="C54" s="22">
        <f>IFERROR(ROUND(C11/C25,0),0)</f>
        <v/>
      </c>
      <c r="D54" s="22">
        <f>IFERROR(ROUND(D11/D25,0),0)</f>
        <v/>
      </c>
      <c r="E54" s="22">
        <f>IFERROR(ROUND(E11/E25,0),0)</f>
        <v/>
      </c>
      <c r="F54" s="22">
        <f>IFERROR(ROUND(F11/F25,0),0)</f>
        <v/>
      </c>
      <c r="G54" s="22">
        <f>IFERROR(ROUND(G11/G25,0),0)</f>
        <v/>
      </c>
      <c r="H54" s="22">
        <f>IFERROR(ROUND(H11/H25,0),0)</f>
        <v/>
      </c>
      <c r="I54" s="22">
        <f>IFERROR(ROUND(I11/I25,0),0)</f>
        <v/>
      </c>
      <c r="J54" s="22">
        <f>IFERROR(ROUND(J11/J25,0),0)</f>
        <v/>
      </c>
      <c r="K54" s="22">
        <f>IFERROR(ROUND(K11/K25,0),0)</f>
        <v/>
      </c>
      <c r="L54" s="22">
        <f>IFERROR(ROUND(L11/L25,0),0)</f>
        <v/>
      </c>
      <c r="M54" s="22">
        <f>IFERROR(ROUND(M11/M25,0),0)</f>
        <v/>
      </c>
      <c r="N54" s="22">
        <f>SUM(B54:M54)</f>
        <v/>
      </c>
    </row>
    <row r="55">
      <c r="A55" s="21" t="inlineStr">
        <is>
          <t>YT Subscribers – Centuary</t>
        </is>
      </c>
      <c r="B55" s="22">
        <f>IFERROR(ROUND(B10/B24,0),0)</f>
        <v/>
      </c>
      <c r="C55" s="22">
        <f>IFERROR(ROUND(C10/C24,0),0)</f>
        <v/>
      </c>
      <c r="D55" s="22">
        <f>IFERROR(ROUND(D10/D24,0),0)</f>
        <v/>
      </c>
      <c r="E55" s="22">
        <f>IFERROR(ROUND(E10/E24,0),0)</f>
        <v/>
      </c>
      <c r="F55" s="22">
        <f>IFERROR(ROUND(F10/F24,0),0)</f>
        <v/>
      </c>
      <c r="G55" s="22">
        <f>IFERROR(ROUND(G10/G24,0),0)</f>
        <v/>
      </c>
      <c r="H55" s="22">
        <f>IFERROR(ROUND(H10/H24,0),0)</f>
        <v/>
      </c>
      <c r="I55" s="22">
        <f>IFERROR(ROUND(I10/I24,0),0)</f>
        <v/>
      </c>
      <c r="J55" s="22">
        <f>IFERROR(ROUND(J10/J24,0),0)</f>
        <v/>
      </c>
      <c r="K55" s="22">
        <f>IFERROR(ROUND(K10/K24,0),0)</f>
        <v/>
      </c>
      <c r="L55" s="22">
        <f>IFERROR(ROUND(L10/L24,0),0)</f>
        <v/>
      </c>
      <c r="M55" s="22">
        <f>IFERROR(ROUND(M10/M24,0),0)</f>
        <v/>
      </c>
      <c r="N55" s="22">
        <f>SUM(B55:M55)</f>
        <v/>
      </c>
    </row>
    <row r="56">
      <c r="A56" s="21" t="inlineStr">
        <is>
          <t>YT Subscribers – Beddy</t>
        </is>
      </c>
      <c r="B56" s="22">
        <f>IFERROR(ROUND(B11/B26,0),0)</f>
        <v/>
      </c>
      <c r="C56" s="22">
        <f>IFERROR(ROUND(C11/C26,0),0)</f>
        <v/>
      </c>
      <c r="D56" s="22">
        <f>IFERROR(ROUND(D11/D26,0),0)</f>
        <v/>
      </c>
      <c r="E56" s="22">
        <f>IFERROR(ROUND(E11/E26,0),0)</f>
        <v/>
      </c>
      <c r="F56" s="22">
        <f>IFERROR(ROUND(F11/F26,0),0)</f>
        <v/>
      </c>
      <c r="G56" s="22">
        <f>IFERROR(ROUND(G11/G26,0),0)</f>
        <v/>
      </c>
      <c r="H56" s="22">
        <f>IFERROR(ROUND(H11/H26,0),0)</f>
        <v/>
      </c>
      <c r="I56" s="22">
        <f>IFERROR(ROUND(I11/I26,0),0)</f>
        <v/>
      </c>
      <c r="J56" s="22">
        <f>IFERROR(ROUND(J11/J26,0),0)</f>
        <v/>
      </c>
      <c r="K56" s="22">
        <f>IFERROR(ROUND(K11/K26,0),0)</f>
        <v/>
      </c>
      <c r="L56" s="22">
        <f>IFERROR(ROUND(L11/L26,0),0)</f>
        <v/>
      </c>
      <c r="M56" s="22">
        <f>IFERROR(ROUND(M11/M26,0),0)</f>
        <v/>
      </c>
      <c r="N56" s="22">
        <f>SUM(B56:M56)</f>
        <v/>
      </c>
    </row>
    <row r="58">
      <c r="A58" s="1" t="inlineStr">
        <is>
          <t>ACTUAL SPEND TRACKING (fill monthly as campaign runs)</t>
        </is>
      </c>
    </row>
    <row r="59">
      <c r="A59" s="10" t="inlineStr">
        <is>
          <t>Metric / Campaign</t>
        </is>
      </c>
      <c r="B59" s="10" t="inlineStr">
        <is>
          <t>Apr'26</t>
        </is>
      </c>
      <c r="C59" s="10" t="inlineStr">
        <is>
          <t>May'26</t>
        </is>
      </c>
      <c r="D59" s="10" t="inlineStr">
        <is>
          <t>Jun'26</t>
        </is>
      </c>
      <c r="E59" s="10" t="inlineStr">
        <is>
          <t>Jul'26</t>
        </is>
      </c>
      <c r="F59" s="10" t="inlineStr">
        <is>
          <t>Aug'26</t>
        </is>
      </c>
      <c r="G59" s="10" t="inlineStr">
        <is>
          <t>Sep'26</t>
        </is>
      </c>
      <c r="H59" s="10" t="inlineStr">
        <is>
          <t>Oct'26</t>
        </is>
      </c>
      <c r="I59" s="10" t="inlineStr">
        <is>
          <t>Nov'26</t>
        </is>
      </c>
      <c r="J59" s="10" t="inlineStr">
        <is>
          <t>Dec'26</t>
        </is>
      </c>
      <c r="K59" s="10" t="inlineStr">
        <is>
          <t>Jan'27</t>
        </is>
      </c>
      <c r="L59" s="10" t="inlineStr">
        <is>
          <t>Feb'27</t>
        </is>
      </c>
      <c r="M59" s="10" t="inlineStr">
        <is>
          <t>Mar'27</t>
        </is>
      </c>
      <c r="N59" s="10" t="inlineStr">
        <is>
          <t>Annual Total</t>
        </is>
      </c>
    </row>
    <row r="60">
      <c r="A60" s="2" t="inlineStr">
        <is>
          <t>Actual Budget – Meta (₹)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5">
        <f>SUM(B60:M60)</f>
        <v/>
      </c>
    </row>
    <row r="61">
      <c r="A61" s="2" t="inlineStr">
        <is>
          <t>Spent Budget – Meta (₹)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5">
        <f>SUM(B61:M61)</f>
        <v/>
      </c>
    </row>
    <row r="62">
      <c r="A62" s="2" t="inlineStr">
        <is>
          <t>Actual Budget – YouTube (₹)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5">
        <f>SUM(B62:M62)</f>
        <v/>
      </c>
    </row>
    <row r="63">
      <c r="A63" s="2" t="inlineStr">
        <is>
          <t>Spent Budget – YouTube (₹)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5">
        <f>SUM(B63:M63)</f>
        <v/>
      </c>
    </row>
  </sheetData>
  <mergeCells count="6">
    <mergeCell ref="A15:O15"/>
    <mergeCell ref="A51:O51"/>
    <mergeCell ref="A28:O28"/>
    <mergeCell ref="A41:O41"/>
    <mergeCell ref="A1:O1"/>
    <mergeCell ref="A58:O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SLEEP MATTERS – BUDGET BREAKDOWN (FY 2026-27)</t>
        </is>
      </c>
    </row>
    <row r="2">
      <c r="A2" s="10" t="inlineStr">
        <is>
          <t>Metric / Campaign</t>
        </is>
      </c>
      <c r="B2" s="10" t="inlineStr">
        <is>
          <t>Apr'26</t>
        </is>
      </c>
      <c r="C2" s="10" t="inlineStr">
        <is>
          <t>May'26</t>
        </is>
      </c>
      <c r="D2" s="10" t="inlineStr">
        <is>
          <t>Jun'26</t>
        </is>
      </c>
      <c r="E2" s="10" t="inlineStr">
        <is>
          <t>Jul'26</t>
        </is>
      </c>
      <c r="F2" s="10" t="inlineStr">
        <is>
          <t>Aug'26</t>
        </is>
      </c>
      <c r="G2" s="10" t="inlineStr">
        <is>
          <t>Sep'26</t>
        </is>
      </c>
      <c r="H2" s="10" t="inlineStr">
        <is>
          <t>Oct'26</t>
        </is>
      </c>
      <c r="I2" s="10" t="inlineStr">
        <is>
          <t>Nov'26</t>
        </is>
      </c>
      <c r="J2" s="10" t="inlineStr">
        <is>
          <t>Dec'26</t>
        </is>
      </c>
      <c r="K2" s="10" t="inlineStr">
        <is>
          <t>Jan'27</t>
        </is>
      </c>
      <c r="L2" s="10" t="inlineStr">
        <is>
          <t>Feb'27</t>
        </is>
      </c>
      <c r="M2" s="10" t="inlineStr">
        <is>
          <t>Mar'27</t>
        </is>
      </c>
      <c r="N2" s="10" t="inlineStr">
        <is>
          <t>Annual Total</t>
        </is>
      </c>
    </row>
    <row r="3">
      <c r="A3" s="11" t="inlineStr">
        <is>
          <t>Percentage Split</t>
        </is>
      </c>
      <c r="B3" s="12" t="n">
        <v>0.07000000000000001</v>
      </c>
      <c r="C3" s="12" t="n">
        <v>0.07000000000000001</v>
      </c>
      <c r="D3" s="12" t="n">
        <v>0.05</v>
      </c>
      <c r="E3" s="12" t="n">
        <v>0.05</v>
      </c>
      <c r="F3" s="12" t="n">
        <v>0.14</v>
      </c>
      <c r="G3" s="12" t="n">
        <v>0.05</v>
      </c>
      <c r="H3" s="12" t="n">
        <v>0.14</v>
      </c>
      <c r="I3" s="12" t="n">
        <v>0.07000000000000001</v>
      </c>
      <c r="J3" s="12" t="n">
        <v>0.05</v>
      </c>
      <c r="K3" s="12" t="n">
        <v>0.13</v>
      </c>
      <c r="L3" s="12" t="n">
        <v>0.05</v>
      </c>
      <c r="M3" s="12" t="n">
        <v>0.13</v>
      </c>
      <c r="N3" s="13">
        <f>SUM(B3:M3)</f>
        <v/>
      </c>
    </row>
    <row r="4">
      <c r="A4" s="11" t="inlineStr">
        <is>
          <t>Total Budget for Meta – Sleep Matters</t>
        </is>
      </c>
      <c r="B4" s="3" t="n">
        <v>20160</v>
      </c>
      <c r="C4" s="3" t="n">
        <v>20160</v>
      </c>
      <c r="D4" s="3" t="n">
        <v>14400</v>
      </c>
      <c r="E4" s="3" t="n">
        <v>14400</v>
      </c>
      <c r="F4" s="3" t="n">
        <v>40320.00000000001</v>
      </c>
      <c r="G4" s="3" t="n">
        <v>14400</v>
      </c>
      <c r="H4" s="3" t="n">
        <v>40320.00000000001</v>
      </c>
      <c r="I4" s="3" t="n">
        <v>20160</v>
      </c>
      <c r="J4" s="3" t="n">
        <v>14400</v>
      </c>
      <c r="K4" s="3" t="n">
        <v>37440</v>
      </c>
      <c r="L4" s="3" t="n">
        <v>14400</v>
      </c>
      <c r="M4" s="3" t="n">
        <v>37440</v>
      </c>
      <c r="N4" s="5">
        <f>SUM(B4:M4)</f>
        <v/>
      </c>
      <c r="O4" s="3" t="n">
        <v>288000</v>
      </c>
    </row>
    <row r="5">
      <c r="A5" s="14" t="inlineStr">
        <is>
          <t>Reach, Engagement &amp; Video Views (25%)</t>
        </is>
      </c>
      <c r="B5" s="5">
        <f>B4*0.25</f>
        <v/>
      </c>
      <c r="C5" s="5">
        <f>C4*0.25</f>
        <v/>
      </c>
      <c r="D5" s="5">
        <f>D4*0.25</f>
        <v/>
      </c>
      <c r="E5" s="5">
        <f>E4*0.25</f>
        <v/>
      </c>
      <c r="F5" s="5">
        <f>F4*0.25</f>
        <v/>
      </c>
      <c r="G5" s="5">
        <f>G4*0.25</f>
        <v/>
      </c>
      <c r="H5" s="5">
        <f>H4*0.25</f>
        <v/>
      </c>
      <c r="I5" s="5">
        <f>I4*0.25</f>
        <v/>
      </c>
      <c r="J5" s="5">
        <f>J4*0.25</f>
        <v/>
      </c>
      <c r="K5" s="5">
        <f>K4*0.25</f>
        <v/>
      </c>
      <c r="L5" s="5">
        <f>L4*0.25</f>
        <v/>
      </c>
      <c r="M5" s="5">
        <f>M4*0.25</f>
        <v/>
      </c>
      <c r="N5" s="5">
        <f>SUM(B5:M5)</f>
        <v/>
      </c>
      <c r="O5" s="3" t="n">
        <v>72000</v>
      </c>
    </row>
    <row r="6">
      <c r="A6" s="14" t="inlineStr">
        <is>
          <t>Product Awareness (13%)</t>
        </is>
      </c>
      <c r="B6" s="5">
        <f>B4*0.13</f>
        <v/>
      </c>
      <c r="C6" s="5">
        <f>C4*0.13</f>
        <v/>
      </c>
      <c r="D6" s="5">
        <f>D4*0.13</f>
        <v/>
      </c>
      <c r="E6" s="5">
        <f>E4*0.13</f>
        <v/>
      </c>
      <c r="F6" s="5">
        <f>F4*0.13</f>
        <v/>
      </c>
      <c r="G6" s="5">
        <f>G4*0.13</f>
        <v/>
      </c>
      <c r="H6" s="5">
        <f>H4*0.13</f>
        <v/>
      </c>
      <c r="I6" s="5">
        <f>I4*0.13</f>
        <v/>
      </c>
      <c r="J6" s="5">
        <f>J4*0.13</f>
        <v/>
      </c>
      <c r="K6" s="5">
        <f>K4*0.13</f>
        <v/>
      </c>
      <c r="L6" s="5">
        <f>L4*0.13</f>
        <v/>
      </c>
      <c r="M6" s="5">
        <f>M4*0.13</f>
        <v/>
      </c>
      <c r="N6" s="5">
        <f>SUM(B6:M6)</f>
        <v/>
      </c>
      <c r="O6" s="3" t="n">
        <v>37440</v>
      </c>
    </row>
    <row r="7">
      <c r="A7" s="14" t="inlineStr">
        <is>
          <t>FB Page Like Campaigns (31%)</t>
        </is>
      </c>
      <c r="B7" s="5">
        <f>B4*0.31</f>
        <v/>
      </c>
      <c r="C7" s="5">
        <f>C4*0.31</f>
        <v/>
      </c>
      <c r="D7" s="5">
        <f>D4*0.31</f>
        <v/>
      </c>
      <c r="E7" s="5">
        <f>E4*0.31</f>
        <v/>
      </c>
      <c r="F7" s="5">
        <f>F4*0.31</f>
        <v/>
      </c>
      <c r="G7" s="5">
        <f>G4*0.31</f>
        <v/>
      </c>
      <c r="H7" s="5">
        <f>H4*0.31</f>
        <v/>
      </c>
      <c r="I7" s="5">
        <f>I4*0.31</f>
        <v/>
      </c>
      <c r="J7" s="5">
        <f>J4*0.31</f>
        <v/>
      </c>
      <c r="K7" s="5">
        <f>K4*0.31</f>
        <v/>
      </c>
      <c r="L7" s="5">
        <f>L4*0.31</f>
        <v/>
      </c>
      <c r="M7" s="5">
        <f>M4*0.31</f>
        <v/>
      </c>
      <c r="N7" s="5">
        <f>SUM(B7:M7)</f>
        <v/>
      </c>
      <c r="O7" s="3" t="n">
        <v>89280</v>
      </c>
    </row>
    <row r="8">
      <c r="A8" s="14" t="inlineStr">
        <is>
          <t>IG Followers Campaigns (31%)</t>
        </is>
      </c>
      <c r="B8" s="5">
        <f>B4*0.31</f>
        <v/>
      </c>
      <c r="C8" s="5">
        <f>C4*0.31</f>
        <v/>
      </c>
      <c r="D8" s="5">
        <f>D4*0.31</f>
        <v/>
      </c>
      <c r="E8" s="5">
        <f>E4*0.31</f>
        <v/>
      </c>
      <c r="F8" s="5">
        <f>F4*0.31</f>
        <v/>
      </c>
      <c r="G8" s="5">
        <f>G4*0.31</f>
        <v/>
      </c>
      <c r="H8" s="5">
        <f>H4*0.31</f>
        <v/>
      </c>
      <c r="I8" s="5">
        <f>I4*0.31</f>
        <v/>
      </c>
      <c r="J8" s="5">
        <f>J4*0.31</f>
        <v/>
      </c>
      <c r="K8" s="5">
        <f>K4*0.31</f>
        <v/>
      </c>
      <c r="L8" s="5">
        <f>L4*0.31</f>
        <v/>
      </c>
      <c r="M8" s="5">
        <f>M4*0.31</f>
        <v/>
      </c>
      <c r="N8" s="5">
        <f>SUM(B8:M8)</f>
        <v/>
      </c>
      <c r="O8" s="3" t="n">
        <v>89280</v>
      </c>
    </row>
    <row r="9">
      <c r="A9" s="11" t="inlineStr">
        <is>
          <t>Budget Overall</t>
        </is>
      </c>
      <c r="B9" s="5">
        <f>B4</f>
        <v/>
      </c>
      <c r="C9" s="5">
        <f>C4</f>
        <v/>
      </c>
      <c r="D9" s="5">
        <f>D4</f>
        <v/>
      </c>
      <c r="E9" s="5">
        <f>E4</f>
        <v/>
      </c>
      <c r="F9" s="5">
        <f>F4</f>
        <v/>
      </c>
      <c r="G9" s="5">
        <f>G4</f>
        <v/>
      </c>
      <c r="H9" s="5">
        <f>H4</f>
        <v/>
      </c>
      <c r="I9" s="5">
        <f>I4</f>
        <v/>
      </c>
      <c r="J9" s="5">
        <f>J4</f>
        <v/>
      </c>
      <c r="K9" s="5">
        <f>K4</f>
        <v/>
      </c>
      <c r="L9" s="5">
        <f>L4</f>
        <v/>
      </c>
      <c r="M9" s="5">
        <f>M4</f>
        <v/>
      </c>
      <c r="N9" s="5">
        <f>SUM(B9:M9)</f>
        <v/>
      </c>
    </row>
    <row r="11">
      <c r="A11" s="1" t="inlineStr">
        <is>
          <t>RATE INPUTS – SLEEP MATTERS  ▸  Editable per month</t>
        </is>
      </c>
    </row>
    <row r="12">
      <c r="A12" s="10" t="inlineStr">
        <is>
          <t>Metric / Campaign</t>
        </is>
      </c>
      <c r="B12" s="10" t="inlineStr">
        <is>
          <t>Apr'26</t>
        </is>
      </c>
      <c r="C12" s="10" t="inlineStr">
        <is>
          <t>May'26</t>
        </is>
      </c>
      <c r="D12" s="10" t="inlineStr">
        <is>
          <t>Jun'26</t>
        </is>
      </c>
      <c r="E12" s="10" t="inlineStr">
        <is>
          <t>Jul'26</t>
        </is>
      </c>
      <c r="F12" s="10" t="inlineStr">
        <is>
          <t>Aug'26</t>
        </is>
      </c>
      <c r="G12" s="10" t="inlineStr">
        <is>
          <t>Sep'26</t>
        </is>
      </c>
      <c r="H12" s="10" t="inlineStr">
        <is>
          <t>Oct'26</t>
        </is>
      </c>
      <c r="I12" s="10" t="inlineStr">
        <is>
          <t>Nov'26</t>
        </is>
      </c>
      <c r="J12" s="10" t="inlineStr">
        <is>
          <t>Dec'26</t>
        </is>
      </c>
      <c r="K12" s="10" t="inlineStr">
        <is>
          <t>Jan'27</t>
        </is>
      </c>
      <c r="L12" s="10" t="inlineStr">
        <is>
          <t>Feb'27</t>
        </is>
      </c>
      <c r="M12" s="10" t="inlineStr">
        <is>
          <t>Mar'27</t>
        </is>
      </c>
      <c r="N12" s="10" t="inlineStr">
        <is>
          <t>Annual Total</t>
        </is>
      </c>
    </row>
    <row r="13">
      <c r="A13" s="2" t="inlineStr">
        <is>
          <t>CPR – Cost per 1,000 Reach (₹)</t>
        </is>
      </c>
      <c r="B13" s="15" t="n">
        <v>15.3</v>
      </c>
      <c r="C13" s="15" t="n">
        <v>15.3</v>
      </c>
      <c r="D13" s="15" t="n">
        <v>17</v>
      </c>
      <c r="E13" s="15" t="n">
        <v>17</v>
      </c>
      <c r="F13" s="15" t="n">
        <v>14</v>
      </c>
      <c r="G13" s="15" t="n">
        <v>17</v>
      </c>
      <c r="H13" s="15" t="n">
        <v>14</v>
      </c>
      <c r="I13" s="15" t="n">
        <v>15.3</v>
      </c>
      <c r="J13" s="15" t="n">
        <v>17</v>
      </c>
      <c r="K13" s="15" t="n">
        <v>14.4</v>
      </c>
      <c r="L13" s="15" t="n">
        <v>17</v>
      </c>
      <c r="M13" s="15" t="n">
        <v>14.4</v>
      </c>
      <c r="N13" s="16">
        <f>AVERAGE(B13:M13)</f>
        <v/>
      </c>
    </row>
    <row r="14">
      <c r="A14" s="2" t="inlineStr">
        <is>
          <t>CPM – Cost per 1,000 Impressions (₹)</t>
        </is>
      </c>
      <c r="B14" s="15" t="n">
        <v>10.7</v>
      </c>
      <c r="C14" s="15" t="n">
        <v>10.7</v>
      </c>
      <c r="D14" s="15" t="n">
        <v>11.9</v>
      </c>
      <c r="E14" s="15" t="n">
        <v>11.9</v>
      </c>
      <c r="F14" s="15" t="n">
        <v>9.800000000000001</v>
      </c>
      <c r="G14" s="15" t="n">
        <v>11.9</v>
      </c>
      <c r="H14" s="15" t="n">
        <v>9.800000000000001</v>
      </c>
      <c r="I14" s="15" t="n">
        <v>10.7</v>
      </c>
      <c r="J14" s="15" t="n">
        <v>11.9</v>
      </c>
      <c r="K14" s="15" t="n">
        <v>10.1</v>
      </c>
      <c r="L14" s="15" t="n">
        <v>11.9</v>
      </c>
      <c r="M14" s="15" t="n">
        <v>10.1</v>
      </c>
      <c r="N14" s="16">
        <f>AVERAGE(B14:M14)</f>
        <v/>
      </c>
    </row>
    <row r="15">
      <c r="A15" s="2" t="inlineStr">
        <is>
          <t>CPV – Cost per 3-Sec Video View (₹)</t>
        </is>
      </c>
      <c r="B15" s="17" t="n">
        <v>0.153</v>
      </c>
      <c r="C15" s="17" t="n">
        <v>0.153</v>
      </c>
      <c r="D15" s="17" t="n">
        <v>0.17</v>
      </c>
      <c r="E15" s="17" t="n">
        <v>0.17</v>
      </c>
      <c r="F15" s="17" t="n">
        <v>0.14</v>
      </c>
      <c r="G15" s="17" t="n">
        <v>0.17</v>
      </c>
      <c r="H15" s="17" t="n">
        <v>0.14</v>
      </c>
      <c r="I15" s="17" t="n">
        <v>0.153</v>
      </c>
      <c r="J15" s="17" t="n">
        <v>0.17</v>
      </c>
      <c r="K15" s="17" t="n">
        <v>0.144</v>
      </c>
      <c r="L15" s="17" t="n">
        <v>0.17</v>
      </c>
      <c r="M15" s="17" t="n">
        <v>0.144</v>
      </c>
      <c r="N15" s="18">
        <f>AVERAGE(B15:M15)</f>
        <v/>
      </c>
    </row>
    <row r="16">
      <c r="A16" s="2" t="inlineStr">
        <is>
          <t>CPE – Cost per Engagement (₹)</t>
        </is>
      </c>
      <c r="B16" s="17" t="n">
        <v>0.255</v>
      </c>
      <c r="C16" s="17" t="n">
        <v>0.255</v>
      </c>
      <c r="D16" s="17" t="n">
        <v>0.283</v>
      </c>
      <c r="E16" s="17" t="n">
        <v>0.283</v>
      </c>
      <c r="F16" s="17" t="n">
        <v>0.233</v>
      </c>
      <c r="G16" s="17" t="n">
        <v>0.283</v>
      </c>
      <c r="H16" s="17" t="n">
        <v>0.233</v>
      </c>
      <c r="I16" s="17" t="n">
        <v>0.255</v>
      </c>
      <c r="J16" s="17" t="n">
        <v>0.283</v>
      </c>
      <c r="K16" s="17" t="n">
        <v>0.24</v>
      </c>
      <c r="L16" s="17" t="n">
        <v>0.283</v>
      </c>
      <c r="M16" s="17" t="n">
        <v>0.24</v>
      </c>
      <c r="N16" s="18">
        <f>AVERAGE(B16:M16)</f>
        <v/>
      </c>
    </row>
    <row r="17">
      <c r="A17" s="2" t="inlineStr">
        <is>
          <t>Cost per FB Page Like (₹)</t>
        </is>
      </c>
      <c r="B17" s="19" t="n">
        <v>5.76</v>
      </c>
      <c r="C17" s="19" t="n">
        <v>5.76</v>
      </c>
      <c r="D17" s="19" t="n">
        <v>6.4</v>
      </c>
      <c r="E17" s="19" t="n">
        <v>6.4</v>
      </c>
      <c r="F17" s="19" t="n">
        <v>5.27</v>
      </c>
      <c r="G17" s="19" t="n">
        <v>6.4</v>
      </c>
      <c r="H17" s="19" t="n">
        <v>5.27</v>
      </c>
      <c r="I17" s="19" t="n">
        <v>5.76</v>
      </c>
      <c r="J17" s="19" t="n">
        <v>6.4</v>
      </c>
      <c r="K17" s="19" t="n">
        <v>5.42</v>
      </c>
      <c r="L17" s="19" t="n">
        <v>6.4</v>
      </c>
      <c r="M17" s="19" t="n">
        <v>5.42</v>
      </c>
      <c r="N17" s="20">
        <f>AVERAGE(B17:M17)</f>
        <v/>
      </c>
    </row>
    <row r="18">
      <c r="A18" s="2" t="inlineStr">
        <is>
          <t>Cost per IG Follower (₹)</t>
        </is>
      </c>
      <c r="B18" s="19" t="n">
        <v>21.6</v>
      </c>
      <c r="C18" s="19" t="n">
        <v>21.6</v>
      </c>
      <c r="D18" s="19" t="n">
        <v>24</v>
      </c>
      <c r="E18" s="19" t="n">
        <v>24</v>
      </c>
      <c r="F18" s="19" t="n">
        <v>19.8</v>
      </c>
      <c r="G18" s="19" t="n">
        <v>24</v>
      </c>
      <c r="H18" s="19" t="n">
        <v>19.8</v>
      </c>
      <c r="I18" s="19" t="n">
        <v>21.6</v>
      </c>
      <c r="J18" s="19" t="n">
        <v>24</v>
      </c>
      <c r="K18" s="19" t="n">
        <v>20.4</v>
      </c>
      <c r="L18" s="19" t="n">
        <v>24</v>
      </c>
      <c r="M18" s="19" t="n">
        <v>20.4</v>
      </c>
      <c r="N18" s="20">
        <f>AVERAGE(B18:M18)</f>
        <v/>
      </c>
    </row>
    <row r="20">
      <c r="A20" s="1" t="inlineStr">
        <is>
          <t>SLEEP MATTERS – META KPI TARGETS  ▸  Auto-calculated</t>
        </is>
      </c>
    </row>
    <row r="21">
      <c r="A21" s="10" t="inlineStr">
        <is>
          <t>Metric / Campaign</t>
        </is>
      </c>
      <c r="B21" s="10" t="inlineStr">
        <is>
          <t>Apr'26</t>
        </is>
      </c>
      <c r="C21" s="10" t="inlineStr">
        <is>
          <t>May'26</t>
        </is>
      </c>
      <c r="D21" s="10" t="inlineStr">
        <is>
          <t>Jun'26</t>
        </is>
      </c>
      <c r="E21" s="10" t="inlineStr">
        <is>
          <t>Jul'26</t>
        </is>
      </c>
      <c r="F21" s="10" t="inlineStr">
        <is>
          <t>Aug'26</t>
        </is>
      </c>
      <c r="G21" s="10" t="inlineStr">
        <is>
          <t>Sep'26</t>
        </is>
      </c>
      <c r="H21" s="10" t="inlineStr">
        <is>
          <t>Oct'26</t>
        </is>
      </c>
      <c r="I21" s="10" t="inlineStr">
        <is>
          <t>Nov'26</t>
        </is>
      </c>
      <c r="J21" s="10" t="inlineStr">
        <is>
          <t>Dec'26</t>
        </is>
      </c>
      <c r="K21" s="10" t="inlineStr">
        <is>
          <t>Jan'27</t>
        </is>
      </c>
      <c r="L21" s="10" t="inlineStr">
        <is>
          <t>Feb'27</t>
        </is>
      </c>
      <c r="M21" s="10" t="inlineStr">
        <is>
          <t>Mar'27</t>
        </is>
      </c>
      <c r="N21" s="10" t="inlineStr">
        <is>
          <t>Annual Total</t>
        </is>
      </c>
    </row>
    <row r="22">
      <c r="A22" s="21" t="inlineStr">
        <is>
          <t>Overall Reach – Paid</t>
        </is>
      </c>
      <c r="B22" s="22">
        <f>IFERROR(ROUND(B4*1000/B13,0),0)</f>
        <v/>
      </c>
      <c r="C22" s="22">
        <f>IFERROR(ROUND(C4*1000/C13,0),0)</f>
        <v/>
      </c>
      <c r="D22" s="22">
        <f>IFERROR(ROUND(D4*1000/D13,0),0)</f>
        <v/>
      </c>
      <c r="E22" s="22">
        <f>IFERROR(ROUND(E4*1000/E13,0),0)</f>
        <v/>
      </c>
      <c r="F22" s="22">
        <f>IFERROR(ROUND(F4*1000/F13,0),0)</f>
        <v/>
      </c>
      <c r="G22" s="22">
        <f>IFERROR(ROUND(G4*1000/G13,0),0)</f>
        <v/>
      </c>
      <c r="H22" s="22">
        <f>IFERROR(ROUND(H4*1000/H13,0),0)</f>
        <v/>
      </c>
      <c r="I22" s="22">
        <f>IFERROR(ROUND(I4*1000/I13,0),0)</f>
        <v/>
      </c>
      <c r="J22" s="22">
        <f>IFERROR(ROUND(J4*1000/J13,0),0)</f>
        <v/>
      </c>
      <c r="K22" s="22">
        <f>IFERROR(ROUND(K4*1000/K13,0),0)</f>
        <v/>
      </c>
      <c r="L22" s="22">
        <f>IFERROR(ROUND(L4*1000/L13,0),0)</f>
        <v/>
      </c>
      <c r="M22" s="22">
        <f>IFERROR(ROUND(M4*1000/M13,0),0)</f>
        <v/>
      </c>
      <c r="N22" s="22">
        <f>SUM(B22:M22)</f>
        <v/>
      </c>
    </row>
    <row r="23">
      <c r="A23" s="21" t="inlineStr">
        <is>
          <t>Overall Impressions – Paid</t>
        </is>
      </c>
      <c r="B23" s="22">
        <f>IFERROR(ROUND(B4*1000/B14,0),0)</f>
        <v/>
      </c>
      <c r="C23" s="22">
        <f>IFERROR(ROUND(C4*1000/C14,0),0)</f>
        <v/>
      </c>
      <c r="D23" s="22">
        <f>IFERROR(ROUND(D4*1000/D14,0),0)</f>
        <v/>
      </c>
      <c r="E23" s="22">
        <f>IFERROR(ROUND(E4*1000/E14,0),0)</f>
        <v/>
      </c>
      <c r="F23" s="22">
        <f>IFERROR(ROUND(F4*1000/F14,0),0)</f>
        <v/>
      </c>
      <c r="G23" s="22">
        <f>IFERROR(ROUND(G4*1000/G14,0),0)</f>
        <v/>
      </c>
      <c r="H23" s="22">
        <f>IFERROR(ROUND(H4*1000/H14,0),0)</f>
        <v/>
      </c>
      <c r="I23" s="22">
        <f>IFERROR(ROUND(I4*1000/I14,0),0)</f>
        <v/>
      </c>
      <c r="J23" s="22">
        <f>IFERROR(ROUND(J4*1000/J14,0),0)</f>
        <v/>
      </c>
      <c r="K23" s="22">
        <f>IFERROR(ROUND(K4*1000/K14,0),0)</f>
        <v/>
      </c>
      <c r="L23" s="22">
        <f>IFERROR(ROUND(L4*1000/L14,0),0)</f>
        <v/>
      </c>
      <c r="M23" s="22">
        <f>IFERROR(ROUND(M4*1000/M14,0),0)</f>
        <v/>
      </c>
      <c r="N23" s="22">
        <f>SUM(B23:M23)</f>
        <v/>
      </c>
    </row>
    <row r="24">
      <c r="A24" s="21" t="inlineStr">
        <is>
          <t>3-Sec Video Views – Meta</t>
        </is>
      </c>
      <c r="B24" s="22">
        <f>IFERROR(ROUND(B5/B15,0),0)</f>
        <v/>
      </c>
      <c r="C24" s="22">
        <f>IFERROR(ROUND(C5/C15,0),0)</f>
        <v/>
      </c>
      <c r="D24" s="22">
        <f>IFERROR(ROUND(D5/D15,0),0)</f>
        <v/>
      </c>
      <c r="E24" s="22">
        <f>IFERROR(ROUND(E5/E15,0),0)</f>
        <v/>
      </c>
      <c r="F24" s="22">
        <f>IFERROR(ROUND(F5/F15,0),0)</f>
        <v/>
      </c>
      <c r="G24" s="22">
        <f>IFERROR(ROUND(G5/G15,0),0)</f>
        <v/>
      </c>
      <c r="H24" s="22">
        <f>IFERROR(ROUND(H5/H15,0),0)</f>
        <v/>
      </c>
      <c r="I24" s="22">
        <f>IFERROR(ROUND(I5/I15,0),0)</f>
        <v/>
      </c>
      <c r="J24" s="22">
        <f>IFERROR(ROUND(J5/J15,0),0)</f>
        <v/>
      </c>
      <c r="K24" s="22">
        <f>IFERROR(ROUND(K5/K15,0),0)</f>
        <v/>
      </c>
      <c r="L24" s="22">
        <f>IFERROR(ROUND(L5/L15,0),0)</f>
        <v/>
      </c>
      <c r="M24" s="22">
        <f>IFERROR(ROUND(M5/M15,0),0)</f>
        <v/>
      </c>
      <c r="N24" s="22">
        <f>SUM(B24:M24)</f>
        <v/>
      </c>
    </row>
    <row r="25">
      <c r="A25" s="21" t="inlineStr">
        <is>
          <t>Reel Views – Meta</t>
        </is>
      </c>
      <c r="B25" s="22">
        <f>IFERROR(ROUND(B24*1.428571,0),0)</f>
        <v/>
      </c>
      <c r="C25" s="22">
        <f>IFERROR(ROUND(C24*1.428571,0),0)</f>
        <v/>
      </c>
      <c r="D25" s="22">
        <f>IFERROR(ROUND(D24*1.428571,0),0)</f>
        <v/>
      </c>
      <c r="E25" s="22">
        <f>IFERROR(ROUND(E24*1.428571,0),0)</f>
        <v/>
      </c>
      <c r="F25" s="22">
        <f>IFERROR(ROUND(F24*1.428571,0),0)</f>
        <v/>
      </c>
      <c r="G25" s="22">
        <f>IFERROR(ROUND(G24*1.428571,0),0)</f>
        <v/>
      </c>
      <c r="H25" s="22">
        <f>IFERROR(ROUND(H24*1.428571,0),0)</f>
        <v/>
      </c>
      <c r="I25" s="22">
        <f>IFERROR(ROUND(I24*1.428571,0),0)</f>
        <v/>
      </c>
      <c r="J25" s="22">
        <f>IFERROR(ROUND(J24*1.428571,0),0)</f>
        <v/>
      </c>
      <c r="K25" s="22">
        <f>IFERROR(ROUND(K24*1.428571,0),0)</f>
        <v/>
      </c>
      <c r="L25" s="22">
        <f>IFERROR(ROUND(L24*1.428571,0),0)</f>
        <v/>
      </c>
      <c r="M25" s="22">
        <f>IFERROR(ROUND(M24*1.428571,0),0)</f>
        <v/>
      </c>
      <c r="N25" s="22">
        <f>SUM(B25:M25)</f>
        <v/>
      </c>
    </row>
    <row r="26">
      <c r="A26" s="21" t="inlineStr">
        <is>
          <t>Engagement</t>
        </is>
      </c>
      <c r="B26" s="22">
        <f>IFERROR(ROUND(B5/B16,0),0)</f>
        <v/>
      </c>
      <c r="C26" s="22">
        <f>IFERROR(ROUND(C5/C16,0),0)</f>
        <v/>
      </c>
      <c r="D26" s="22">
        <f>IFERROR(ROUND(D5/D16,0),0)</f>
        <v/>
      </c>
      <c r="E26" s="22">
        <f>IFERROR(ROUND(E5/E16,0),0)</f>
        <v/>
      </c>
      <c r="F26" s="22">
        <f>IFERROR(ROUND(F5/F16,0),0)</f>
        <v/>
      </c>
      <c r="G26" s="22">
        <f>IFERROR(ROUND(G5/G16,0),0)</f>
        <v/>
      </c>
      <c r="H26" s="22">
        <f>IFERROR(ROUND(H5/H16,0),0)</f>
        <v/>
      </c>
      <c r="I26" s="22">
        <f>IFERROR(ROUND(I5/I16,0),0)</f>
        <v/>
      </c>
      <c r="J26" s="22">
        <f>IFERROR(ROUND(J5/J16,0),0)</f>
        <v/>
      </c>
      <c r="K26" s="22">
        <f>IFERROR(ROUND(K5/K16,0),0)</f>
        <v/>
      </c>
      <c r="L26" s="22">
        <f>IFERROR(ROUND(L5/L16,0),0)</f>
        <v/>
      </c>
      <c r="M26" s="22">
        <f>IFERROR(ROUND(M5/M16,0),0)</f>
        <v/>
      </c>
      <c r="N26" s="22">
        <f>SUM(B26:M26)</f>
        <v/>
      </c>
    </row>
    <row r="27">
      <c r="A27" s="21" t="inlineStr">
        <is>
          <t>Engagement Rate %</t>
        </is>
      </c>
      <c r="B27" s="23">
        <f>IFERROR(B26/B22,0)</f>
        <v/>
      </c>
      <c r="C27" s="23">
        <f>IFERROR(C26/C22,0)</f>
        <v/>
      </c>
      <c r="D27" s="23">
        <f>IFERROR(D26/D22,0)</f>
        <v/>
      </c>
      <c r="E27" s="23">
        <f>IFERROR(E26/E22,0)</f>
        <v/>
      </c>
      <c r="F27" s="23">
        <f>IFERROR(F26/F22,0)</f>
        <v/>
      </c>
      <c r="G27" s="23">
        <f>IFERROR(G26/G22,0)</f>
        <v/>
      </c>
      <c r="H27" s="23">
        <f>IFERROR(H26/H22,0)</f>
        <v/>
      </c>
      <c r="I27" s="23">
        <f>IFERROR(I26/I22,0)</f>
        <v/>
      </c>
      <c r="J27" s="23">
        <f>IFERROR(J26/J22,0)</f>
        <v/>
      </c>
      <c r="K27" s="23">
        <f>IFERROR(K26/K22,0)</f>
        <v/>
      </c>
      <c r="L27" s="23">
        <f>IFERROR(L26/L22,0)</f>
        <v/>
      </c>
      <c r="M27" s="23">
        <f>IFERROR(M26/M22,0)</f>
        <v/>
      </c>
      <c r="N27" s="23">
        <f>SUM(B27:M27)</f>
        <v/>
      </c>
    </row>
    <row r="28">
      <c r="A28" s="21" t="inlineStr">
        <is>
          <t>IG Followers</t>
        </is>
      </c>
      <c r="B28" s="22">
        <f>IFERROR(ROUND(B8/B18,0),0)</f>
        <v/>
      </c>
      <c r="C28" s="22">
        <f>IFERROR(ROUND(C8/C18,0),0)</f>
        <v/>
      </c>
      <c r="D28" s="22">
        <f>IFERROR(ROUND(D8/D18,0),0)</f>
        <v/>
      </c>
      <c r="E28" s="22">
        <f>IFERROR(ROUND(E8/E18,0),0)</f>
        <v/>
      </c>
      <c r="F28" s="22">
        <f>IFERROR(ROUND(F8/F18,0),0)</f>
        <v/>
      </c>
      <c r="G28" s="22">
        <f>IFERROR(ROUND(G8/G18,0),0)</f>
        <v/>
      </c>
      <c r="H28" s="22">
        <f>IFERROR(ROUND(H8/H18,0),0)</f>
        <v/>
      </c>
      <c r="I28" s="22">
        <f>IFERROR(ROUND(I8/I18,0),0)</f>
        <v/>
      </c>
      <c r="J28" s="22">
        <f>IFERROR(ROUND(J8/J18,0),0)</f>
        <v/>
      </c>
      <c r="K28" s="22">
        <f>IFERROR(ROUND(K8/K18,0),0)</f>
        <v/>
      </c>
      <c r="L28" s="22">
        <f>IFERROR(ROUND(L8/L18,0),0)</f>
        <v/>
      </c>
      <c r="M28" s="22">
        <f>IFERROR(ROUND(M8/M18,0),0)</f>
        <v/>
      </c>
      <c r="N28" s="22">
        <f>SUM(B28:M28)</f>
        <v/>
      </c>
    </row>
    <row r="29">
      <c r="A29" s="21" t="inlineStr">
        <is>
          <t>Facebook Followers</t>
        </is>
      </c>
      <c r="B29" s="22">
        <f>IFERROR(ROUND(B7/B17,0),0)</f>
        <v/>
      </c>
      <c r="C29" s="22">
        <f>IFERROR(ROUND(C7/C17,0),0)</f>
        <v/>
      </c>
      <c r="D29" s="22">
        <f>IFERROR(ROUND(D7/D17,0),0)</f>
        <v/>
      </c>
      <c r="E29" s="22">
        <f>IFERROR(ROUND(E7/E17,0),0)</f>
        <v/>
      </c>
      <c r="F29" s="22">
        <f>IFERROR(ROUND(F7/F17,0),0)</f>
        <v/>
      </c>
      <c r="G29" s="22">
        <f>IFERROR(ROUND(G7/G17,0),0)</f>
        <v/>
      </c>
      <c r="H29" s="22">
        <f>IFERROR(ROUND(H7/H17,0),0)</f>
        <v/>
      </c>
      <c r="I29" s="22">
        <f>IFERROR(ROUND(I7/I17,0),0)</f>
        <v/>
      </c>
      <c r="J29" s="22">
        <f>IFERROR(ROUND(J7/J17,0),0)</f>
        <v/>
      </c>
      <c r="K29" s="22">
        <f>IFERROR(ROUND(K7/K17,0),0)</f>
        <v/>
      </c>
      <c r="L29" s="22">
        <f>IFERROR(ROUND(L7/L17,0),0)</f>
        <v/>
      </c>
      <c r="M29" s="22">
        <f>IFERROR(ROUND(M7/M17,0),0)</f>
        <v/>
      </c>
      <c r="N29" s="22">
        <f>SUM(B29:M29)</f>
        <v/>
      </c>
    </row>
    <row r="31">
      <c r="A31" s="1" t="inlineStr">
        <is>
          <t>ORIGINAL ANNUAL TARGETS – SLEEP MATTERS (reference)</t>
        </is>
      </c>
    </row>
    <row r="32">
      <c r="A32" s="10" t="inlineStr">
        <is>
          <t>Metric / Campaign</t>
        </is>
      </c>
      <c r="B32" s="10" t="inlineStr">
        <is>
          <t>Apr'26</t>
        </is>
      </c>
      <c r="C32" s="10" t="inlineStr">
        <is>
          <t>May'26</t>
        </is>
      </c>
      <c r="D32" s="10" t="inlineStr">
        <is>
          <t>Jun'26</t>
        </is>
      </c>
      <c r="E32" s="10" t="inlineStr">
        <is>
          <t>Jul'26</t>
        </is>
      </c>
      <c r="F32" s="10" t="inlineStr">
        <is>
          <t>Aug'26</t>
        </is>
      </c>
      <c r="G32" s="10" t="inlineStr">
        <is>
          <t>Sep'26</t>
        </is>
      </c>
      <c r="H32" s="10" t="inlineStr">
        <is>
          <t>Oct'26</t>
        </is>
      </c>
      <c r="I32" s="10" t="inlineStr">
        <is>
          <t>Nov'26</t>
        </is>
      </c>
      <c r="J32" s="10" t="inlineStr">
        <is>
          <t>Dec'26</t>
        </is>
      </c>
      <c r="K32" s="10" t="inlineStr">
        <is>
          <t>Jan'27</t>
        </is>
      </c>
      <c r="L32" s="10" t="inlineStr">
        <is>
          <t>Feb'27</t>
        </is>
      </c>
      <c r="M32" s="10" t="inlineStr">
        <is>
          <t>Mar'27</t>
        </is>
      </c>
      <c r="N32" s="10" t="inlineStr">
        <is>
          <t>Annual Total</t>
        </is>
      </c>
    </row>
    <row r="33">
      <c r="A33" s="24" t="inlineStr">
        <is>
          <t>Overall Reach – Paid (original)</t>
        </is>
      </c>
      <c r="B33" s="25" t="n">
        <v>1344000</v>
      </c>
      <c r="C33" s="25" t="n">
        <v>1344000</v>
      </c>
      <c r="D33" s="25" t="n">
        <v>960000</v>
      </c>
      <c r="E33" s="25" t="n">
        <v>960000</v>
      </c>
      <c r="F33" s="25" t="n">
        <v>2688000</v>
      </c>
      <c r="G33" s="25" t="n">
        <v>960000</v>
      </c>
      <c r="H33" s="25" t="n">
        <v>2688000</v>
      </c>
      <c r="I33" s="25" t="n">
        <v>1344000</v>
      </c>
      <c r="J33" s="25" t="n">
        <v>960000</v>
      </c>
      <c r="K33" s="25" t="n">
        <v>2496000</v>
      </c>
      <c r="L33" s="25" t="n">
        <v>960000</v>
      </c>
      <c r="M33" s="25" t="n">
        <v>2496000</v>
      </c>
      <c r="N33" s="25" t="n">
        <v>19200000</v>
      </c>
    </row>
    <row r="34">
      <c r="A34" s="24" t="inlineStr">
        <is>
          <t>Overall Impressions – Paid (original)</t>
        </is>
      </c>
      <c r="B34" s="25" t="n">
        <v>2016000</v>
      </c>
      <c r="C34" s="25" t="n">
        <v>2016000</v>
      </c>
      <c r="D34" s="25" t="n">
        <v>1440000</v>
      </c>
      <c r="E34" s="25" t="n">
        <v>1440000</v>
      </c>
      <c r="F34" s="25" t="n">
        <v>4032000</v>
      </c>
      <c r="G34" s="25" t="n">
        <v>1440000</v>
      </c>
      <c r="H34" s="25" t="n">
        <v>4032000</v>
      </c>
      <c r="I34" s="25" t="n">
        <v>2016000</v>
      </c>
      <c r="J34" s="25" t="n">
        <v>1440000</v>
      </c>
      <c r="K34" s="25" t="n">
        <v>3744000</v>
      </c>
      <c r="L34" s="25" t="n">
        <v>1440000</v>
      </c>
      <c r="M34" s="25" t="n">
        <v>3744000</v>
      </c>
      <c r="N34" s="25" t="n">
        <v>28800000</v>
      </c>
    </row>
    <row r="35">
      <c r="A35" s="24" t="inlineStr">
        <is>
          <t>3-Sec Video Views (original)</t>
        </is>
      </c>
      <c r="B35" s="25" t="n">
        <v>25200</v>
      </c>
      <c r="C35" s="25" t="n">
        <v>25200</v>
      </c>
      <c r="D35" s="25" t="n">
        <v>18000</v>
      </c>
      <c r="E35" s="25" t="n">
        <v>18000</v>
      </c>
      <c r="F35" s="25" t="n">
        <v>50400</v>
      </c>
      <c r="G35" s="25" t="n">
        <v>18000</v>
      </c>
      <c r="H35" s="25" t="n">
        <v>50400</v>
      </c>
      <c r="I35" s="25" t="n">
        <v>25200</v>
      </c>
      <c r="J35" s="25" t="n">
        <v>18000</v>
      </c>
      <c r="K35" s="25" t="n">
        <v>46800</v>
      </c>
      <c r="L35" s="25" t="n">
        <v>18000</v>
      </c>
      <c r="M35" s="25" t="n">
        <v>46800</v>
      </c>
      <c r="N35" s="25" t="n">
        <v>360000</v>
      </c>
    </row>
    <row r="36">
      <c r="A36" s="24" t="inlineStr">
        <is>
          <t>Reel Views (original)</t>
        </is>
      </c>
      <c r="B36" s="25" t="n">
        <v>70560</v>
      </c>
      <c r="C36" s="25" t="n">
        <v>70560</v>
      </c>
      <c r="D36" s="25" t="n">
        <v>50400</v>
      </c>
      <c r="E36" s="25" t="n">
        <v>50400</v>
      </c>
      <c r="F36" s="25" t="n">
        <v>141120</v>
      </c>
      <c r="G36" s="25" t="n">
        <v>50400</v>
      </c>
      <c r="H36" s="25" t="n">
        <v>141120</v>
      </c>
      <c r="I36" s="25" t="n">
        <v>70560</v>
      </c>
      <c r="J36" s="25" t="n">
        <v>50400</v>
      </c>
      <c r="K36" s="25" t="n">
        <v>131040</v>
      </c>
      <c r="L36" s="25" t="n">
        <v>50400</v>
      </c>
      <c r="M36" s="25" t="n">
        <v>131040</v>
      </c>
      <c r="N36" s="25" t="n">
        <v>1008000</v>
      </c>
    </row>
    <row r="37">
      <c r="A37" s="24" t="inlineStr">
        <is>
          <t>Engagement (original)</t>
        </is>
      </c>
      <c r="B37" s="25" t="n">
        <v>25200</v>
      </c>
      <c r="C37" s="25" t="n">
        <v>25200</v>
      </c>
      <c r="D37" s="25" t="n">
        <v>18000</v>
      </c>
      <c r="E37" s="25" t="n">
        <v>18000</v>
      </c>
      <c r="F37" s="25" t="n">
        <v>50400</v>
      </c>
      <c r="G37" s="25" t="n">
        <v>18000</v>
      </c>
      <c r="H37" s="25" t="n">
        <v>50400</v>
      </c>
      <c r="I37" s="25" t="n">
        <v>25200</v>
      </c>
      <c r="J37" s="25" t="n">
        <v>18000</v>
      </c>
      <c r="K37" s="25" t="n">
        <v>46800</v>
      </c>
      <c r="L37" s="25" t="n">
        <v>18000</v>
      </c>
      <c r="M37" s="25" t="n">
        <v>46800</v>
      </c>
      <c r="N37" s="25" t="n">
        <v>360000</v>
      </c>
    </row>
    <row r="38">
      <c r="A38" s="24" t="inlineStr">
        <is>
          <t>IG Followers (original)</t>
        </is>
      </c>
      <c r="B38" s="25" t="n">
        <v>252</v>
      </c>
      <c r="C38" s="25" t="n">
        <v>252</v>
      </c>
      <c r="D38" s="25" t="n">
        <v>180</v>
      </c>
      <c r="E38" s="25" t="n">
        <v>180</v>
      </c>
      <c r="F38" s="25" t="n">
        <v>504</v>
      </c>
      <c r="G38" s="25" t="n">
        <v>180</v>
      </c>
      <c r="H38" s="25" t="n">
        <v>504</v>
      </c>
      <c r="I38" s="25" t="n">
        <v>252</v>
      </c>
      <c r="J38" s="25" t="n">
        <v>180</v>
      </c>
      <c r="K38" s="25" t="n">
        <v>468</v>
      </c>
      <c r="L38" s="25" t="n">
        <v>180</v>
      </c>
      <c r="M38" s="25" t="n">
        <v>468</v>
      </c>
      <c r="N38" s="25" t="n">
        <v>3600</v>
      </c>
    </row>
    <row r="39">
      <c r="A39" s="24" t="inlineStr">
        <is>
          <t>Facebook Followers (original)</t>
        </is>
      </c>
      <c r="B39" s="25" t="n">
        <v>1050</v>
      </c>
      <c r="C39" s="25" t="n">
        <v>1050</v>
      </c>
      <c r="D39" s="25" t="n">
        <v>750</v>
      </c>
      <c r="E39" s="25" t="n">
        <v>750</v>
      </c>
      <c r="F39" s="25" t="n">
        <v>2100</v>
      </c>
      <c r="G39" s="25" t="n">
        <v>750</v>
      </c>
      <c r="H39" s="25" t="n">
        <v>2100</v>
      </c>
      <c r="I39" s="25" t="n">
        <v>1050</v>
      </c>
      <c r="J39" s="25" t="n">
        <v>750</v>
      </c>
      <c r="K39" s="25" t="n">
        <v>1950</v>
      </c>
      <c r="L39" s="25" t="n">
        <v>750</v>
      </c>
      <c r="M39" s="25" t="n">
        <v>1950</v>
      </c>
      <c r="N39" s="25" t="n">
        <v>15000</v>
      </c>
    </row>
    <row r="41">
      <c r="A41" s="1" t="inlineStr">
        <is>
          <t>ACTUAL SPEND TRACKING – SLEEP MATTERS</t>
        </is>
      </c>
    </row>
    <row r="42">
      <c r="A42" s="10" t="inlineStr">
        <is>
          <t>Metric / Campaign</t>
        </is>
      </c>
      <c r="B42" s="10" t="inlineStr">
        <is>
          <t>Apr'26</t>
        </is>
      </c>
      <c r="C42" s="10" t="inlineStr">
        <is>
          <t>May'26</t>
        </is>
      </c>
      <c r="D42" s="10" t="inlineStr">
        <is>
          <t>Jun'26</t>
        </is>
      </c>
      <c r="E42" s="10" t="inlineStr">
        <is>
          <t>Jul'26</t>
        </is>
      </c>
      <c r="F42" s="10" t="inlineStr">
        <is>
          <t>Aug'26</t>
        </is>
      </c>
      <c r="G42" s="10" t="inlineStr">
        <is>
          <t>Sep'26</t>
        </is>
      </c>
      <c r="H42" s="10" t="inlineStr">
        <is>
          <t>Oct'26</t>
        </is>
      </c>
      <c r="I42" s="10" t="inlineStr">
        <is>
          <t>Nov'26</t>
        </is>
      </c>
      <c r="J42" s="10" t="inlineStr">
        <is>
          <t>Dec'26</t>
        </is>
      </c>
      <c r="K42" s="10" t="inlineStr">
        <is>
          <t>Jan'27</t>
        </is>
      </c>
      <c r="L42" s="10" t="inlineStr">
        <is>
          <t>Feb'27</t>
        </is>
      </c>
      <c r="M42" s="10" t="inlineStr">
        <is>
          <t>Mar'27</t>
        </is>
      </c>
      <c r="N42" s="10" t="inlineStr">
        <is>
          <t>Annual Total</t>
        </is>
      </c>
    </row>
    <row r="43">
      <c r="A43" s="2" t="inlineStr">
        <is>
          <t>Actual Budget – Meta (₹)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5">
        <f>SUM(B43:M43)</f>
        <v/>
      </c>
    </row>
    <row r="44">
      <c r="A44" s="2" t="inlineStr">
        <is>
          <t>Spent Budget – Meta (₹)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5">
        <f>SUM(B44:M44)</f>
        <v/>
      </c>
    </row>
  </sheetData>
  <mergeCells count="5">
    <mergeCell ref="A20:O20"/>
    <mergeCell ref="A41:O41"/>
    <mergeCell ref="A11:O11"/>
    <mergeCell ref="A1:O1"/>
    <mergeCell ref="A31:O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26" t="inlineStr">
        <is>
          <t>KPI</t>
        </is>
      </c>
      <c r="B1" s="27" t="inlineStr">
        <is>
          <t>Apr'26</t>
        </is>
      </c>
      <c r="D1" s="27" t="inlineStr">
        <is>
          <t>May'26</t>
        </is>
      </c>
      <c r="F1" s="27" t="inlineStr">
        <is>
          <t>Jun'26</t>
        </is>
      </c>
      <c r="H1" s="27" t="inlineStr">
        <is>
          <t>Jul'26</t>
        </is>
      </c>
      <c r="J1" s="27" t="inlineStr">
        <is>
          <t>Aug'26</t>
        </is>
      </c>
      <c r="L1" s="27" t="inlineStr">
        <is>
          <t>Sep'26</t>
        </is>
      </c>
      <c r="N1" s="27" t="inlineStr">
        <is>
          <t>Oct'26</t>
        </is>
      </c>
      <c r="P1" s="27" t="inlineStr">
        <is>
          <t>Nov'26</t>
        </is>
      </c>
      <c r="R1" s="27" t="inlineStr">
        <is>
          <t>Dec'26</t>
        </is>
      </c>
      <c r="T1" s="27" t="inlineStr">
        <is>
          <t>Jan'27</t>
        </is>
      </c>
      <c r="V1" s="27" t="inlineStr">
        <is>
          <t>Feb'27</t>
        </is>
      </c>
      <c r="X1" s="27" t="inlineStr">
        <is>
          <t>Mar'27</t>
        </is>
      </c>
    </row>
    <row r="2">
      <c r="B2" s="28" t="inlineStr">
        <is>
          <t>Target</t>
        </is>
      </c>
      <c r="C2" s="29" t="inlineStr">
        <is>
          <t>Achieved</t>
        </is>
      </c>
      <c r="D2" s="28" t="inlineStr">
        <is>
          <t>Target</t>
        </is>
      </c>
      <c r="E2" s="29" t="inlineStr">
        <is>
          <t>Achieved</t>
        </is>
      </c>
      <c r="F2" s="28" t="inlineStr">
        <is>
          <t>Target</t>
        </is>
      </c>
      <c r="G2" s="29" t="inlineStr">
        <is>
          <t>Achieved</t>
        </is>
      </c>
      <c r="H2" s="28" t="inlineStr">
        <is>
          <t>Target</t>
        </is>
      </c>
      <c r="I2" s="29" t="inlineStr">
        <is>
          <t>Achieved</t>
        </is>
      </c>
      <c r="J2" s="28" t="inlineStr">
        <is>
          <t>Target</t>
        </is>
      </c>
      <c r="K2" s="29" t="inlineStr">
        <is>
          <t>Achieved</t>
        </is>
      </c>
      <c r="L2" s="28" t="inlineStr">
        <is>
          <t>Target</t>
        </is>
      </c>
      <c r="M2" s="29" t="inlineStr">
        <is>
          <t>Achieved</t>
        </is>
      </c>
      <c r="N2" s="28" t="inlineStr">
        <is>
          <t>Target</t>
        </is>
      </c>
      <c r="O2" s="29" t="inlineStr">
        <is>
          <t>Achieved</t>
        </is>
      </c>
      <c r="P2" s="28" t="inlineStr">
        <is>
          <t>Target</t>
        </is>
      </c>
      <c r="Q2" s="29" t="inlineStr">
        <is>
          <t>Achieved</t>
        </is>
      </c>
      <c r="R2" s="28" t="inlineStr">
        <is>
          <t>Target</t>
        </is>
      </c>
      <c r="S2" s="29" t="inlineStr">
        <is>
          <t>Achieved</t>
        </is>
      </c>
      <c r="T2" s="28" t="inlineStr">
        <is>
          <t>Target</t>
        </is>
      </c>
      <c r="U2" s="29" t="inlineStr">
        <is>
          <t>Achieved</t>
        </is>
      </c>
      <c r="V2" s="28" t="inlineStr">
        <is>
          <t>Target</t>
        </is>
      </c>
      <c r="W2" s="29" t="inlineStr">
        <is>
          <t>Achieved</t>
        </is>
      </c>
      <c r="X2" s="28" t="inlineStr">
        <is>
          <t>Target</t>
        </is>
      </c>
      <c r="Y2" s="29" t="inlineStr">
        <is>
          <t>Achieved</t>
        </is>
      </c>
    </row>
    <row r="3">
      <c r="A3" s="30" t="inlineStr">
        <is>
          <t>Overall Reach – Paid</t>
        </is>
      </c>
    </row>
    <row r="4">
      <c r="A4" s="30" t="inlineStr">
        <is>
          <t>Overall Impressions – Paid</t>
        </is>
      </c>
    </row>
    <row r="5">
      <c r="A5" s="30" t="inlineStr">
        <is>
          <t>3-Sec Video Views – Meta</t>
        </is>
      </c>
    </row>
    <row r="6">
      <c r="A6" s="30" t="inlineStr">
        <is>
          <t>Reel Views – Meta</t>
        </is>
      </c>
    </row>
    <row r="7">
      <c r="A7" s="30" t="inlineStr">
        <is>
          <t>Engagement</t>
        </is>
      </c>
    </row>
    <row r="8">
      <c r="A8" s="30" t="inlineStr">
        <is>
          <t>Engagement Rate %</t>
        </is>
      </c>
    </row>
    <row r="9">
      <c r="A9" s="30" t="inlineStr">
        <is>
          <t>Link Clicks – Meta</t>
        </is>
      </c>
    </row>
    <row r="10">
      <c r="A10" s="30" t="inlineStr">
        <is>
          <t>CPR (₹)</t>
        </is>
      </c>
    </row>
    <row r="11">
      <c r="A11" s="30" t="inlineStr">
        <is>
          <t>CPM (₹)</t>
        </is>
      </c>
    </row>
    <row r="12">
      <c r="A12" s="30" t="inlineStr">
        <is>
          <t>CPV 3-Sec (₹)</t>
        </is>
      </c>
    </row>
    <row r="13">
      <c r="A13" s="30" t="inlineStr">
        <is>
          <t>CPE (₹)</t>
        </is>
      </c>
    </row>
    <row r="14">
      <c r="A14" s="30" t="inlineStr">
        <is>
          <t>Cost per FB Page Like (₹)</t>
        </is>
      </c>
    </row>
    <row r="15">
      <c r="A15" s="30" t="inlineStr">
        <is>
          <t>Cost per IG Follower (₹)</t>
        </is>
      </c>
    </row>
    <row r="16">
      <c r="A16" s="30" t="inlineStr">
        <is>
          <t>IG Followers</t>
        </is>
      </c>
    </row>
    <row r="17">
      <c r="A17" s="30" t="inlineStr">
        <is>
          <t>Facebook Followers</t>
        </is>
      </c>
    </row>
    <row r="18">
      <c r="A18" s="30" t="inlineStr">
        <is>
          <t>YT Subscribers – Centuary</t>
        </is>
      </c>
    </row>
    <row r="19">
      <c r="A19" s="30" t="inlineStr">
        <is>
          <t>YT Subscribers – Beddy</t>
        </is>
      </c>
    </row>
    <row r="20">
      <c r="A20" s="30" t="inlineStr">
        <is>
          <t>YT Video Views – Centuary</t>
        </is>
      </c>
    </row>
    <row r="21">
      <c r="A21" s="30" t="inlineStr">
        <is>
          <t>YT Video Views – Beddy</t>
        </is>
      </c>
    </row>
    <row r="22">
      <c r="A22" s="30" t="inlineStr">
        <is>
          <t>Frequency – Meta</t>
        </is>
      </c>
    </row>
    <row r="23">
      <c r="A23" s="30" t="inlineStr">
        <is>
          <t>Hold Rate %</t>
        </is>
      </c>
    </row>
    <row r="24">
      <c r="A24" s="30" t="inlineStr">
        <is>
          <t>Actual Budget – Meta (₹)</t>
        </is>
      </c>
    </row>
    <row r="25">
      <c r="A25" s="30" t="inlineStr">
        <is>
          <t>Spent Budget – Meta (₹)</t>
        </is>
      </c>
    </row>
    <row r="26">
      <c r="A26" s="30" t="inlineStr">
        <is>
          <t>Actual Budget – YouTube (₹)</t>
        </is>
      </c>
    </row>
    <row r="27">
      <c r="A27" s="30" t="inlineStr">
        <is>
          <t>Spent Budget – YouTube (₹)</t>
        </is>
      </c>
    </row>
  </sheetData>
  <mergeCells count="12">
    <mergeCell ref="N1:O1"/>
    <mergeCell ref="D1:E1"/>
    <mergeCell ref="X1:Y1"/>
    <mergeCell ref="V1:W1"/>
    <mergeCell ref="T1:U1"/>
    <mergeCell ref="H1:I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26" t="inlineStr">
        <is>
          <t>KPI</t>
        </is>
      </c>
      <c r="B1" s="27" t="inlineStr">
        <is>
          <t>Apr'26</t>
        </is>
      </c>
      <c r="D1" s="27" t="inlineStr">
        <is>
          <t>May'26</t>
        </is>
      </c>
      <c r="F1" s="27" t="inlineStr">
        <is>
          <t>Jun'26</t>
        </is>
      </c>
      <c r="H1" s="27" t="inlineStr">
        <is>
          <t>Jul'26</t>
        </is>
      </c>
      <c r="J1" s="27" t="inlineStr">
        <is>
          <t>Aug'26</t>
        </is>
      </c>
      <c r="L1" s="27" t="inlineStr">
        <is>
          <t>Sep'26</t>
        </is>
      </c>
      <c r="N1" s="27" t="inlineStr">
        <is>
          <t>Oct'26</t>
        </is>
      </c>
      <c r="P1" s="27" t="inlineStr">
        <is>
          <t>Nov'26</t>
        </is>
      </c>
      <c r="R1" s="27" t="inlineStr">
        <is>
          <t>Dec'26</t>
        </is>
      </c>
      <c r="T1" s="27" t="inlineStr">
        <is>
          <t>Jan'27</t>
        </is>
      </c>
      <c r="V1" s="27" t="inlineStr">
        <is>
          <t>Feb'27</t>
        </is>
      </c>
      <c r="X1" s="27" t="inlineStr">
        <is>
          <t>Mar'27</t>
        </is>
      </c>
    </row>
    <row r="2">
      <c r="B2" s="28" t="inlineStr">
        <is>
          <t>Target</t>
        </is>
      </c>
      <c r="C2" s="29" t="inlineStr">
        <is>
          <t>Achieved</t>
        </is>
      </c>
      <c r="D2" s="28" t="inlineStr">
        <is>
          <t>Target</t>
        </is>
      </c>
      <c r="E2" s="29" t="inlineStr">
        <is>
          <t>Achieved</t>
        </is>
      </c>
      <c r="F2" s="28" t="inlineStr">
        <is>
          <t>Target</t>
        </is>
      </c>
      <c r="G2" s="29" t="inlineStr">
        <is>
          <t>Achieved</t>
        </is>
      </c>
      <c r="H2" s="28" t="inlineStr">
        <is>
          <t>Target</t>
        </is>
      </c>
      <c r="I2" s="29" t="inlineStr">
        <is>
          <t>Achieved</t>
        </is>
      </c>
      <c r="J2" s="28" t="inlineStr">
        <is>
          <t>Target</t>
        </is>
      </c>
      <c r="K2" s="29" t="inlineStr">
        <is>
          <t>Achieved</t>
        </is>
      </c>
      <c r="L2" s="28" t="inlineStr">
        <is>
          <t>Target</t>
        </is>
      </c>
      <c r="M2" s="29" t="inlineStr">
        <is>
          <t>Achieved</t>
        </is>
      </c>
      <c r="N2" s="28" t="inlineStr">
        <is>
          <t>Target</t>
        </is>
      </c>
      <c r="O2" s="29" t="inlineStr">
        <is>
          <t>Achieved</t>
        </is>
      </c>
      <c r="P2" s="28" t="inlineStr">
        <is>
          <t>Target</t>
        </is>
      </c>
      <c r="Q2" s="29" t="inlineStr">
        <is>
          <t>Achieved</t>
        </is>
      </c>
      <c r="R2" s="28" t="inlineStr">
        <is>
          <t>Target</t>
        </is>
      </c>
      <c r="S2" s="29" t="inlineStr">
        <is>
          <t>Achieved</t>
        </is>
      </c>
      <c r="T2" s="28" t="inlineStr">
        <is>
          <t>Target</t>
        </is>
      </c>
      <c r="U2" s="29" t="inlineStr">
        <is>
          <t>Achieved</t>
        </is>
      </c>
      <c r="V2" s="28" t="inlineStr">
        <is>
          <t>Target</t>
        </is>
      </c>
      <c r="W2" s="29" t="inlineStr">
        <is>
          <t>Achieved</t>
        </is>
      </c>
      <c r="X2" s="28" t="inlineStr">
        <is>
          <t>Target</t>
        </is>
      </c>
      <c r="Y2" s="29" t="inlineStr">
        <is>
          <t>Achieved</t>
        </is>
      </c>
    </row>
    <row r="3">
      <c r="A3" s="30" t="inlineStr">
        <is>
          <t>Overall Reach – Paid</t>
        </is>
      </c>
    </row>
    <row r="4">
      <c r="A4" s="30" t="inlineStr">
        <is>
          <t>Overall Impressions – Paid</t>
        </is>
      </c>
    </row>
    <row r="5">
      <c r="A5" s="30" t="inlineStr">
        <is>
          <t>3-Sec Video Views – Meta</t>
        </is>
      </c>
    </row>
    <row r="6">
      <c r="A6" s="30" t="inlineStr">
        <is>
          <t>Reel Views – Meta</t>
        </is>
      </c>
    </row>
    <row r="7">
      <c r="A7" s="30" t="inlineStr">
        <is>
          <t>Engagement</t>
        </is>
      </c>
    </row>
    <row r="8">
      <c r="A8" s="30" t="inlineStr">
        <is>
          <t>Engagement Rate %</t>
        </is>
      </c>
    </row>
    <row r="9">
      <c r="A9" s="30" t="inlineStr">
        <is>
          <t>Link Clicks – Meta</t>
        </is>
      </c>
    </row>
    <row r="10">
      <c r="A10" s="30" t="inlineStr">
        <is>
          <t>CPR (₹)</t>
        </is>
      </c>
    </row>
    <row r="11">
      <c r="A11" s="30" t="inlineStr">
        <is>
          <t>CPM (₹)</t>
        </is>
      </c>
    </row>
    <row r="12">
      <c r="A12" s="30" t="inlineStr">
        <is>
          <t>CPV 3-Sec (₹)</t>
        </is>
      </c>
    </row>
    <row r="13">
      <c r="A13" s="30" t="inlineStr">
        <is>
          <t>CPE (₹)</t>
        </is>
      </c>
    </row>
    <row r="14">
      <c r="A14" s="30" t="inlineStr">
        <is>
          <t>Cost per FB Page Like (₹)</t>
        </is>
      </c>
    </row>
    <row r="15">
      <c r="A15" s="30" t="inlineStr">
        <is>
          <t>Cost per IG Follower (₹)</t>
        </is>
      </c>
    </row>
    <row r="16">
      <c r="A16" s="30" t="inlineStr">
        <is>
          <t>IG Followers</t>
        </is>
      </c>
    </row>
    <row r="17">
      <c r="A17" s="30" t="inlineStr">
        <is>
          <t>Facebook Followers</t>
        </is>
      </c>
    </row>
    <row r="18">
      <c r="A18" s="30" t="inlineStr">
        <is>
          <t>Hold Rate %</t>
        </is>
      </c>
    </row>
    <row r="19">
      <c r="A19" s="30" t="inlineStr">
        <is>
          <t>Actual Budget – Meta (₹)</t>
        </is>
      </c>
    </row>
    <row r="20">
      <c r="A20" s="30" t="inlineStr">
        <is>
          <t>Spent Budget – Meta (₹)</t>
        </is>
      </c>
    </row>
  </sheetData>
  <mergeCells count="12">
    <mergeCell ref="N1:O1"/>
    <mergeCell ref="D1:E1"/>
    <mergeCell ref="X1:Y1"/>
    <mergeCell ref="V1:W1"/>
    <mergeCell ref="T1:U1"/>
    <mergeCell ref="H1:I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2026-05-20T13:58:24Z</dcterms:created>
  <dcterms:modified xsi:type="dcterms:W3CDTF">2026-05-20T13:58:24Z</dcterms:modified>
</cp:coreProperties>
</file>